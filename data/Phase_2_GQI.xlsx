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 NACHO\MASTER\"/>
    </mc:Choice>
  </mc:AlternateContent>
  <xr:revisionPtr revIDLastSave="0" documentId="13_ncr:1_{06AA140D-6684-44A7-B4D4-6C51E6641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Approach_1" sheetId="15" r:id="rId2"/>
    <sheet name="Approach_2" sheetId="16" r:id="rId3"/>
    <sheet name="03_Column_dictionary" sheetId="4" state="hidden" r:id="rId4"/>
  </sheets>
  <definedNames>
    <definedName name="_xlnm._FilterDatabase" localSheetId="3" hidden="1">'03_Column_dictionary'!$A$1:$E$42</definedName>
    <definedName name="_xlnm._FilterDatabase" localSheetId="0" hidden="1">Data!$A$1:$Y$406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6" l="1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N2" i="16"/>
</calcChain>
</file>

<file path=xl/sharedStrings.xml><?xml version="1.0" encoding="utf-8"?>
<sst xmlns="http://schemas.openxmlformats.org/spreadsheetml/2006/main" count="2357" uniqueCount="651">
  <si>
    <t>—</t>
  </si>
  <si>
    <t>Respiration rate</t>
  </si>
  <si>
    <t>Moisture</t>
  </si>
  <si>
    <t>plant_id</t>
  </si>
  <si>
    <t>species</t>
  </si>
  <si>
    <t>calibre</t>
  </si>
  <si>
    <t>genotype</t>
  </si>
  <si>
    <t>harvest</t>
  </si>
  <si>
    <t>time_point</t>
  </si>
  <si>
    <t>dah</t>
  </si>
  <si>
    <t>replicate</t>
  </si>
  <si>
    <t>fresh_weight_g</t>
  </si>
  <si>
    <t>pseudostem_diameter_cm</t>
  </si>
  <si>
    <t>pseudostem_length_cm</t>
  </si>
  <si>
    <t>leaves_length_cm</t>
  </si>
  <si>
    <t>firmness_N</t>
  </si>
  <si>
    <t>chlorophyll_spad</t>
  </si>
  <si>
    <t>pseudostem_luminosity_L</t>
  </si>
  <si>
    <t>pseudostem_hue_deg</t>
  </si>
  <si>
    <t>pseudostem_chroma_C</t>
  </si>
  <si>
    <t>leaf_luminosity_L</t>
  </si>
  <si>
    <t>leaf_hue_deg</t>
  </si>
  <si>
    <t>leaf_chroma_C</t>
  </si>
  <si>
    <t>moisture_pct</t>
  </si>
  <si>
    <t>tss_brix</t>
  </si>
  <si>
    <t>tta_pct</t>
  </si>
  <si>
    <t>respiration_rate_mL_CO2_kg_h</t>
  </si>
  <si>
    <t>pyruvic_acid_mg_g_dw</t>
  </si>
  <si>
    <t>pyruvic_match</t>
  </si>
  <si>
    <t>ANTSRO030_H1_T1_R1</t>
  </si>
  <si>
    <t>A. fistulosum</t>
  </si>
  <si>
    <t>Medium</t>
  </si>
  <si>
    <t>ANTSRO030</t>
  </si>
  <si>
    <t>ANTSRO030_H1_T1_R2</t>
  </si>
  <si>
    <t>ANTSRO030_H1_T1_R3</t>
  </si>
  <si>
    <t>ANTSRO030_H1_T1_R4</t>
  </si>
  <si>
    <t>ANTSRO030_H1_T1_R5</t>
  </si>
  <si>
    <t>ANTSRO030_H1_T1_R6</t>
  </si>
  <si>
    <t>ANTSNC003_H1_T1_R1</t>
  </si>
  <si>
    <t>Broad</t>
  </si>
  <si>
    <t>ANTSNC003</t>
  </si>
  <si>
    <t>ANTSNC003_H1_T1_R2</t>
  </si>
  <si>
    <t>ANTSNC003_H1_T1_R3</t>
  </si>
  <si>
    <t>ANTSNC003_H1_T1_R4</t>
  </si>
  <si>
    <t>ANTSNC003_H1_T1_R5</t>
  </si>
  <si>
    <t>ANTSNC003_H1_T1_R6</t>
  </si>
  <si>
    <t>91400071_H1_T1_R1</t>
  </si>
  <si>
    <t>91400071</t>
  </si>
  <si>
    <t>91400071_H1_T1_R2</t>
  </si>
  <si>
    <t>91400071_H1_T1_R3</t>
  </si>
  <si>
    <t>91400071_H1_T1_R4</t>
  </si>
  <si>
    <t>91400071_H1_T1_R5</t>
  </si>
  <si>
    <t>91400071_H1_T1_R6</t>
  </si>
  <si>
    <t>91400035_H1_T1_R1</t>
  </si>
  <si>
    <t>91400035</t>
  </si>
  <si>
    <t>91400035_H1_T1_R2</t>
  </si>
  <si>
    <t>91400035_H1_T1_R3</t>
  </si>
  <si>
    <t>91400035_H1_T1_R4</t>
  </si>
  <si>
    <t>91400035_H1_T1_R5</t>
  </si>
  <si>
    <t>91400035_H1_T1_R6</t>
  </si>
  <si>
    <t>NDSCAR038_H1_T1_R1</t>
  </si>
  <si>
    <t>NDSCAR038</t>
  </si>
  <si>
    <t>NDSCAR038_H1_T1_R2</t>
  </si>
  <si>
    <t>NDSCAR038_H1_T1_R3</t>
  </si>
  <si>
    <t>NDSCAR038_H1_T1_R4</t>
  </si>
  <si>
    <t>NDSCAR038_H1_T1_R5</t>
  </si>
  <si>
    <t>NDSCAR038_H1_T1_R6</t>
  </si>
  <si>
    <t>ANTSRO030_H1_T2_R1</t>
  </si>
  <si>
    <t>ANTSRO030_H1_T2_R2</t>
  </si>
  <si>
    <t>ANTSRO030_H1_T2_R3</t>
  </si>
  <si>
    <t>ANTSRO030_H1_T2_R4</t>
  </si>
  <si>
    <t>ANTSRO030_H1_T2_R5</t>
  </si>
  <si>
    <t>ANTSNC003_H1_T2_R1</t>
  </si>
  <si>
    <t>ANTSNC003_H1_T2_R2</t>
  </si>
  <si>
    <t>ANTSNC003_H1_T2_R3</t>
  </si>
  <si>
    <t>ANTSNC003_H1_T2_R4</t>
  </si>
  <si>
    <t>ANTSNC003_H1_T2_R5</t>
  </si>
  <si>
    <t>91400071_H1_T2_R1</t>
  </si>
  <si>
    <t>91400071_H1_T2_R2</t>
  </si>
  <si>
    <t>91400071_H1_T2_R3</t>
  </si>
  <si>
    <t>91400071_H1_T2_R4</t>
  </si>
  <si>
    <t>91400071_H1_T2_R5</t>
  </si>
  <si>
    <t>91400035_H1_T2_R1</t>
  </si>
  <si>
    <t>91400035_H1_T2_R2</t>
  </si>
  <si>
    <t>91400035_H1_T2_R3</t>
  </si>
  <si>
    <t>91400035_H1_T2_R4</t>
  </si>
  <si>
    <t>91400035_H1_T2_R5</t>
  </si>
  <si>
    <t>NDSCAR038_H1_T2_R1</t>
  </si>
  <si>
    <t>NDSCAR038_H1_T2_R2</t>
  </si>
  <si>
    <t>NDSCAR038_H1_T2_R3</t>
  </si>
  <si>
    <t>NDSCAR038_H1_T2_R4</t>
  </si>
  <si>
    <t>NDSCAR038_H1_T2_R5</t>
  </si>
  <si>
    <t>ANTSRO030_H1_T3_R1</t>
  </si>
  <si>
    <t>ANTSRO030_H1_T3_R2</t>
  </si>
  <si>
    <t>ANTSRO030_H1_T3_R3</t>
  </si>
  <si>
    <t>ANTSRO030_H1_T3_R4</t>
  </si>
  <si>
    <t>ANTSRO030_H1_T3_R5</t>
  </si>
  <si>
    <t>ANTSNC003_H1_T3_R1</t>
  </si>
  <si>
    <t>ANTSNC003_H1_T3_R2</t>
  </si>
  <si>
    <t>ANTSNC003_H1_T3_R3</t>
  </si>
  <si>
    <t>ANTSNC003_H1_T3_R4</t>
  </si>
  <si>
    <t>ANTSNC003_H1_T3_R5</t>
  </si>
  <si>
    <t>91400071_H1_T3_R1</t>
  </si>
  <si>
    <t>91400071_H1_T3_R2</t>
  </si>
  <si>
    <t>91400071_H1_T3_R3</t>
  </si>
  <si>
    <t>91400071_H1_T3_R4</t>
  </si>
  <si>
    <t>91400071_H1_T3_R5</t>
  </si>
  <si>
    <t>91400035_H1_T3_R1</t>
  </si>
  <si>
    <t>91400035_H1_T3_R2</t>
  </si>
  <si>
    <t>91400035_H1_T3_R3</t>
  </si>
  <si>
    <t>91400035_H1_T3_R4</t>
  </si>
  <si>
    <t>91400035_H1_T3_R5</t>
  </si>
  <si>
    <t>NDSCAR038_H1_T3_R1</t>
  </si>
  <si>
    <t>NDSCAR038_H1_T3_R2</t>
  </si>
  <si>
    <t>NDSCAR038_H1_T3_R3</t>
  </si>
  <si>
    <t>NDSCAR038_H1_T3_R4</t>
  </si>
  <si>
    <t>NDSCAR038_H1_T3_R5</t>
  </si>
  <si>
    <t>ANTSRO030_H1_T4_R1</t>
  </si>
  <si>
    <t>ANTSRO030_H1_T4_R2</t>
  </si>
  <si>
    <t>ANTSRO030_H1_T4_R3</t>
  </si>
  <si>
    <t>ANTSRO030_H1_T4_R4</t>
  </si>
  <si>
    <t>ANTSRO030_H1_T4_R5</t>
  </si>
  <si>
    <t>ANTSNC003_H1_T4_R1</t>
  </si>
  <si>
    <t>ANTSNC003_H1_T4_R2</t>
  </si>
  <si>
    <t>ANTSNC003_H1_T4_R3</t>
  </si>
  <si>
    <t>ANTSNC003_H1_T4_R4</t>
  </si>
  <si>
    <t>ANTSNC003_H1_T4_R5</t>
  </si>
  <si>
    <t>91400071_H1_T4_R1</t>
  </si>
  <si>
    <t>91400071_H1_T4_R2</t>
  </si>
  <si>
    <t>91400071_H1_T4_R3</t>
  </si>
  <si>
    <t>91400071_H1_T4_R4</t>
  </si>
  <si>
    <t>91400071_H1_T4_R5</t>
  </si>
  <si>
    <t>91400035_H1_T4_R1</t>
  </si>
  <si>
    <t>91400035_H1_T4_R2</t>
  </si>
  <si>
    <t>91400035_H1_T4_R3</t>
  </si>
  <si>
    <t>91400035_H1_T4_R4</t>
  </si>
  <si>
    <t>91400035_H1_T4_R5</t>
  </si>
  <si>
    <t>NDSCAR038_H1_T4_R1</t>
  </si>
  <si>
    <t>NDSCAR038_H1_T4_R2</t>
  </si>
  <si>
    <t>NDSCAR038_H1_T4_R3</t>
  </si>
  <si>
    <t>NDSCAR038_H1_T4_R4</t>
  </si>
  <si>
    <t>NDSCAR038_H1_T4_R5</t>
  </si>
  <si>
    <t>ANTSRO029_H1_T1_R1</t>
  </si>
  <si>
    <t>Short</t>
  </si>
  <si>
    <t>ANTSRO029</t>
  </si>
  <si>
    <t>ANTSRO029_H1_T1_R2</t>
  </si>
  <si>
    <t>ANTSRO029_H1_T1_R3</t>
  </si>
  <si>
    <t>ANTSRO029_H1_T1_R4</t>
  </si>
  <si>
    <t>ANTSRO029_H1_T1_R5</t>
  </si>
  <si>
    <t>91400028_H1_T1_R1</t>
  </si>
  <si>
    <t>Hybrid</t>
  </si>
  <si>
    <t>91400028</t>
  </si>
  <si>
    <t>91400028_H1_T1_R2</t>
  </si>
  <si>
    <t>91400028_H1_T1_R3</t>
  </si>
  <si>
    <t>91400028_H1_T1_R4</t>
  </si>
  <si>
    <t>91400028_H1_T1_R5</t>
  </si>
  <si>
    <t>ANTSON013_H1_T1_R1</t>
  </si>
  <si>
    <t>ANTSON013</t>
  </si>
  <si>
    <t>ANTSON013_H1_T1_R2</t>
  </si>
  <si>
    <t>ANTSON013_H1_T1_R3</t>
  </si>
  <si>
    <t>ANTSON013_H1_T1_R4</t>
  </si>
  <si>
    <t>ANTSON013_H1_T1_R5</t>
  </si>
  <si>
    <t>91400070_H1_T1_R1</t>
  </si>
  <si>
    <t>91400070</t>
  </si>
  <si>
    <t>91400070_H1_T1_R2</t>
  </si>
  <si>
    <t>91400070_H1_T1_R3</t>
  </si>
  <si>
    <t>91400070_H1_T1_R4</t>
  </si>
  <si>
    <t>91400070_H1_T1_R5</t>
  </si>
  <si>
    <t>CUNSBR048_H1_T1_R1</t>
  </si>
  <si>
    <t>CUNSBR048</t>
  </si>
  <si>
    <t>CUNSBR048_H1_T1_R2</t>
  </si>
  <si>
    <t>CUNSBR048_H1_T1_R3</t>
  </si>
  <si>
    <t>CUNSBR048_H1_T1_R4</t>
  </si>
  <si>
    <t>CUNSBR048_H1_T1_R5</t>
  </si>
  <si>
    <t>ANTSRO029_H1_T2_R1</t>
  </si>
  <si>
    <t>ANTSRO029_H1_T2_R2</t>
  </si>
  <si>
    <t>ANTSRO029_H1_T2_R3</t>
  </si>
  <si>
    <t>ANTSRO029_H1_T2_R4</t>
  </si>
  <si>
    <t>ANTSRO029_H1_T2_R5</t>
  </si>
  <si>
    <t>91400028_H1_T2_R1</t>
  </si>
  <si>
    <t>91400028_H1_T2_R2</t>
  </si>
  <si>
    <t>91400028_H1_T2_R3</t>
  </si>
  <si>
    <t>91400028_H1_T2_R4</t>
  </si>
  <si>
    <t>91400028_H1_T2_R5</t>
  </si>
  <si>
    <t>ANTSON013_H1_T2_R1</t>
  </si>
  <si>
    <t>ANTSON013_H1_T2_R2</t>
  </si>
  <si>
    <t>ANTSON013_H1_T2_R3</t>
  </si>
  <si>
    <t>ANTSON013_H1_T2_R4</t>
  </si>
  <si>
    <t>ANTSON013_H1_T2_R5</t>
  </si>
  <si>
    <t>91400070_H1_T2_R1</t>
  </si>
  <si>
    <t>91400070_H1_T2_R2</t>
  </si>
  <si>
    <t>91400070_H1_T2_R3</t>
  </si>
  <si>
    <t>91400070_H1_T2_R4</t>
  </si>
  <si>
    <t>91400070_H1_T2_R5</t>
  </si>
  <si>
    <t>CUNSBR048_H1_T2_R1</t>
  </si>
  <si>
    <t>CUNSBR048_H1_T2_R2</t>
  </si>
  <si>
    <t>CUNSBR048_H1_T2_R3</t>
  </si>
  <si>
    <t>CUNSBR048_H1_T2_R4</t>
  </si>
  <si>
    <t>CUNSBR048_H1_T2_R5</t>
  </si>
  <si>
    <t>ANTSRO029_H1_T3_R1</t>
  </si>
  <si>
    <t>ANTSRO029_H1_T3_R2</t>
  </si>
  <si>
    <t>ANTSRO029_H1_T3_R3</t>
  </si>
  <si>
    <t>ANTSRO029_H1_T3_R4</t>
  </si>
  <si>
    <t>ANTSRO029_H1_T3_R5</t>
  </si>
  <si>
    <t>91400028_H1_T3_R1</t>
  </si>
  <si>
    <t>91400028_H1_T3_R2</t>
  </si>
  <si>
    <t>91400028_H1_T3_R3</t>
  </si>
  <si>
    <t>91400028_H1_T3_R4</t>
  </si>
  <si>
    <t>91400028_H1_T3_R5</t>
  </si>
  <si>
    <t>ANTSON013_H1_T3_R1</t>
  </si>
  <si>
    <t>ANTSON013_H1_T3_R2</t>
  </si>
  <si>
    <t>ANTSON013_H1_T3_R3</t>
  </si>
  <si>
    <t>ANTSON013_H1_T3_R4</t>
  </si>
  <si>
    <t>ANTSON013_H1_T3_R5</t>
  </si>
  <si>
    <t>91400070_H1_T3_R1</t>
  </si>
  <si>
    <t>91400070_H1_T3_R2</t>
  </si>
  <si>
    <t>91400070_H1_T3_R3</t>
  </si>
  <si>
    <t>91400070_H1_T3_R4</t>
  </si>
  <si>
    <t>91400070_H1_T3_R5</t>
  </si>
  <si>
    <t>CUNSBR048_H1_T3_R1</t>
  </si>
  <si>
    <t>CUNSBR048_H1_T3_R2</t>
  </si>
  <si>
    <t>CUNSBR048_H1_T3_R3</t>
  </si>
  <si>
    <t>CUNSBR048_H1_T3_R4</t>
  </si>
  <si>
    <t>CUNSBR048_H1_T3_R5</t>
  </si>
  <si>
    <t>ANTSRO029_H1_T4_R1</t>
  </si>
  <si>
    <t>ANTSRO029_H1_T4_R2</t>
  </si>
  <si>
    <t>ANTSRO029_H1_T4_R3</t>
  </si>
  <si>
    <t>ANTSRO029_H1_T4_R4</t>
  </si>
  <si>
    <t>ANTSRO029_H1_T4_R5</t>
  </si>
  <si>
    <t>91400028_H1_T4_R1</t>
  </si>
  <si>
    <t>91400028_H1_T4_R2</t>
  </si>
  <si>
    <t>91400028_H1_T4_R3</t>
  </si>
  <si>
    <t>91400028_H1_T4_R4</t>
  </si>
  <si>
    <t>91400028_H1_T4_R5</t>
  </si>
  <si>
    <t>ANTSON013_H1_T4_R1</t>
  </si>
  <si>
    <t>ANTSON013_H1_T4_R2</t>
  </si>
  <si>
    <t>ANTSON013_H1_T4_R3</t>
  </si>
  <si>
    <t>ANTSON013_H1_T4_R4</t>
  </si>
  <si>
    <t>ANTSON013_H1_T4_R5</t>
  </si>
  <si>
    <t>91400070_H1_T4_R1</t>
  </si>
  <si>
    <t>91400070_H1_T4_R2</t>
  </si>
  <si>
    <t>91400070_H1_T4_R3</t>
  </si>
  <si>
    <t>91400070_H1_T4_R4</t>
  </si>
  <si>
    <t>91400070_H1_T4_R5</t>
  </si>
  <si>
    <t>CUNSBR048_H1_T4_R1</t>
  </si>
  <si>
    <t>CUNSBR048_H1_T4_R2</t>
  </si>
  <si>
    <t>CUNSBR048_H1_T4_R3</t>
  </si>
  <si>
    <t>CUNSBR048_H1_T4_R4</t>
  </si>
  <si>
    <t>CUNSBR048_H1_T4_R5</t>
  </si>
  <si>
    <t>CUNSBR048_H2_T1_R3</t>
  </si>
  <si>
    <t>CUNSBR048_H2_T1_R4</t>
  </si>
  <si>
    <t>CUNSBR048_H2_T1_R5</t>
  </si>
  <si>
    <t>ANTSON013_H2_T1_R1</t>
  </si>
  <si>
    <t>ANTSON013_H2_T1_R2</t>
  </si>
  <si>
    <t>ANTSON013_H2_T1_R3</t>
  </si>
  <si>
    <t>ANTSON013_H2_T1_R4</t>
  </si>
  <si>
    <t>ANTSON013_H2_T1_R5</t>
  </si>
  <si>
    <t>91400035_H2_T1_R1</t>
  </si>
  <si>
    <t>91400035_H2_T1_R2</t>
  </si>
  <si>
    <t>91400035_H2_T1_R3</t>
  </si>
  <si>
    <t>91400035_H2_T1_R4</t>
  </si>
  <si>
    <t>91400035_H2_T1_R5</t>
  </si>
  <si>
    <t>NDSCAR038_H2_T1_R1</t>
  </si>
  <si>
    <t>NDSCAR038_H2_T1_R2</t>
  </si>
  <si>
    <t>NDSCAR038_H2_T1_R3</t>
  </si>
  <si>
    <t>NDSCAR038_H2_T1_R4</t>
  </si>
  <si>
    <t>NDSCAR038_H2_T1_R5</t>
  </si>
  <si>
    <t>91400028_H2_T1_R1</t>
  </si>
  <si>
    <t>91400028_H2_T1_R2</t>
  </si>
  <si>
    <t>91400028_H2_T1_R3</t>
  </si>
  <si>
    <t>91400028_H2_T1_R4</t>
  </si>
  <si>
    <t>91400028_H2_T1_R5</t>
  </si>
  <si>
    <t>CUNSBR048_H2_T2_R1</t>
  </si>
  <si>
    <t>CUNSBR048_H2_T2_R2</t>
  </si>
  <si>
    <t>CUNSBR048_H2_T2_R3</t>
  </si>
  <si>
    <t>CUNSBR048_H2_T2_R4</t>
  </si>
  <si>
    <t>CUNSBR048_H2_T2_R5</t>
  </si>
  <si>
    <t>ANTSON013_H2_T2_R1</t>
  </si>
  <si>
    <t>ANTSON013_H2_T2_R2</t>
  </si>
  <si>
    <t>ANTSON013_H2_T2_R3</t>
  </si>
  <si>
    <t>ANTSON013_H2_T2_R4</t>
  </si>
  <si>
    <t>ANTSON013_H2_T2_R5</t>
  </si>
  <si>
    <t>91400035_H2_T2_R1</t>
  </si>
  <si>
    <t>91400035_H2_T2_R2</t>
  </si>
  <si>
    <t>91400035_H2_T2_R3</t>
  </si>
  <si>
    <t>91400035_H2_T2_R4</t>
  </si>
  <si>
    <t>91400035_H2_T2_R5</t>
  </si>
  <si>
    <t>NDSCAR038_H2_T2_R1</t>
  </si>
  <si>
    <t>NDSCAR038_H2_T2_R2</t>
  </si>
  <si>
    <t>NDSCAR038_H2_T2_R3</t>
  </si>
  <si>
    <t>NDSCAR038_H2_T2_R4</t>
  </si>
  <si>
    <t>NDSCAR038_H2_T2_R5</t>
  </si>
  <si>
    <t>91400028_H2_T2_R1</t>
  </si>
  <si>
    <t>91400028_H2_T2_R2</t>
  </si>
  <si>
    <t>CUNSBR048_H2_T1_R1</t>
  </si>
  <si>
    <t>91400028_H2_T2_R3</t>
  </si>
  <si>
    <t>91400028_H2_T2_R4</t>
  </si>
  <si>
    <t>91400028_H2_T2_R5</t>
  </si>
  <si>
    <t>CUNSBR048_H2_T3_R1</t>
  </si>
  <si>
    <t>CUNSBR048_H2_T1_R2</t>
  </si>
  <si>
    <t>CUNSBR048_H2_T3_R2</t>
  </si>
  <si>
    <t>CUNSBR048_H2_T3_R3</t>
  </si>
  <si>
    <t>CUNSBR048_H2_T3_R4</t>
  </si>
  <si>
    <t>CUNSBR048_H2_T3_R5</t>
  </si>
  <si>
    <t>ANTSON013_H2_T3_R1</t>
  </si>
  <si>
    <t>ANTSON013_H2_T3_R2</t>
  </si>
  <si>
    <t>ANTSON013_H2_T3_R3</t>
  </si>
  <si>
    <t>ANTSON013_H2_T3_R4</t>
  </si>
  <si>
    <t>ANTSON013_H2_T3_R5</t>
  </si>
  <si>
    <t>91400035_H2_T3_R1</t>
  </si>
  <si>
    <t>91400035_H2_T3_R2</t>
  </si>
  <si>
    <t>91400035_H2_T3_R3</t>
  </si>
  <si>
    <t>91400035_H2_T3_R4</t>
  </si>
  <si>
    <t>91400035_H2_T3_R5</t>
  </si>
  <si>
    <t>NDSCAR038_H2_T3_R1</t>
  </si>
  <si>
    <t>NDSCAR038_H2_T3_R2</t>
  </si>
  <si>
    <t>NDSCAR038_H2_T3_R3</t>
  </si>
  <si>
    <t>NDSCAR038_H2_T3_R4</t>
  </si>
  <si>
    <t>NDSCAR038_H2_T3_R5</t>
  </si>
  <si>
    <t>91400028_H2_T3_R1</t>
  </si>
  <si>
    <t>91400028_H2_T3_R2</t>
  </si>
  <si>
    <t>91400028_H2_T3_R3</t>
  </si>
  <si>
    <t>91400028_H2_T3_R4</t>
  </si>
  <si>
    <t>91400028_H2_T3_R5</t>
  </si>
  <si>
    <t>CUNSBR048_H2_T4_R1</t>
  </si>
  <si>
    <t>CUNSBR048_H2_T4_R2</t>
  </si>
  <si>
    <t>CUNSBR048_H2_T4_R3</t>
  </si>
  <si>
    <t>CUNSBR048_H2_T4_R4</t>
  </si>
  <si>
    <t>CUNSBR048_H2_T4_R5</t>
  </si>
  <si>
    <t>ANTSON013_H2_T4_R1</t>
  </si>
  <si>
    <t>ANTSON013_H2_T4_R2</t>
  </si>
  <si>
    <t>ANTSON013_H2_T4_R3</t>
  </si>
  <si>
    <t>ANTSON013_H2_T4_R4</t>
  </si>
  <si>
    <t>ANTSON013_H2_T4_R5</t>
  </si>
  <si>
    <t>91400035_H2_T4_R1</t>
  </si>
  <si>
    <t>91400035_H2_T4_R2</t>
  </si>
  <si>
    <t>91400035_H2_T4_R3</t>
  </si>
  <si>
    <t>91400035_H2_T4_R4</t>
  </si>
  <si>
    <t>91400035_H2_T4_R5</t>
  </si>
  <si>
    <t>NDSCAR038_H2_T4_R1</t>
  </si>
  <si>
    <t>NDSCAR038_H2_T4_R2</t>
  </si>
  <si>
    <t>NDSCAR038_H2_T4_R3</t>
  </si>
  <si>
    <t>NDSCAR038_H2_T4_R4</t>
  </si>
  <si>
    <t>NDSCAR038_H2_T4_R5</t>
  </si>
  <si>
    <t>91400028_H2_T4_R1</t>
  </si>
  <si>
    <t>91400028_H2_T4_R2</t>
  </si>
  <si>
    <t>91400028_H2_T4_R3</t>
  </si>
  <si>
    <t>91400028_H2_T4_R4</t>
  </si>
  <si>
    <t>91400028_H2_T4_R5</t>
  </si>
  <si>
    <t>91400070_H2_T1_R1</t>
  </si>
  <si>
    <t>91400070_H2_T1_R2</t>
  </si>
  <si>
    <t>91400070_H2_T1_R3</t>
  </si>
  <si>
    <t>91400070_H2_T1_R4</t>
  </si>
  <si>
    <t>91400070_H2_T1_R5</t>
  </si>
  <si>
    <t>ANTSNC003_H2_T1_R1</t>
  </si>
  <si>
    <t>ANTSNC003_H2_T1_R2</t>
  </si>
  <si>
    <t>ANTSNC003_H2_T1_R3</t>
  </si>
  <si>
    <t>ANTSNC003_H2_T1_R4</t>
  </si>
  <si>
    <t>ANTSNC003_H2_T1_R5</t>
  </si>
  <si>
    <t>ANTSRO030_H2_T1_R1</t>
  </si>
  <si>
    <t>ANTSRO030_H2_T1_R2</t>
  </si>
  <si>
    <t>ANTSRO030_H2_T1_R3</t>
  </si>
  <si>
    <t>ANTSRO030_H2_T1_R4</t>
  </si>
  <si>
    <t>ANTSRO030_H2_T1_R5</t>
  </si>
  <si>
    <t>ANTSRO029_H2_T1_R1</t>
  </si>
  <si>
    <t>ANTSRO029_H2_T1_R2</t>
  </si>
  <si>
    <t>ANTSRO029_H2_T1_R3</t>
  </si>
  <si>
    <t>ANTSRO029_H2_T1_R4</t>
  </si>
  <si>
    <t>ANTSRO029_H2_T1_R5</t>
  </si>
  <si>
    <t>91400071_H2_T1_R1</t>
  </si>
  <si>
    <t>91400071_H2_T1_R2</t>
  </si>
  <si>
    <t>91400071_H2_T1_R3</t>
  </si>
  <si>
    <t>91400071_H2_T1_R4</t>
  </si>
  <si>
    <t>91400071_H2_T1_R5</t>
  </si>
  <si>
    <t>91400070_H2_T2_R1</t>
  </si>
  <si>
    <t>91400070_H2_T2_R2</t>
  </si>
  <si>
    <t>91400070_H2_T2_R3</t>
  </si>
  <si>
    <t>91400070_H2_T2_R4</t>
  </si>
  <si>
    <t>91400070_H2_T2_R5</t>
  </si>
  <si>
    <t>ANTSNC003_H2_T2_R1</t>
  </si>
  <si>
    <t>ANTSNC003_H2_T2_R2</t>
  </si>
  <si>
    <t>ANTSNC003_H2_T2_R3</t>
  </si>
  <si>
    <t>ANTSNC003_H2_T2_R4</t>
  </si>
  <si>
    <t>ANTSNC003_H2_T2_R5</t>
  </si>
  <si>
    <t>ANTSRO030_H2_T2_R1</t>
  </si>
  <si>
    <t>ANTSRO030_H2_T2_R2</t>
  </si>
  <si>
    <t>ANTSRO030_H2_T2_R3</t>
  </si>
  <si>
    <t>ANTSRO030_H2_T2_R4</t>
  </si>
  <si>
    <t>ANTSRO030_H2_T2_R5</t>
  </si>
  <si>
    <t>ANTSRO029_H2_T2_R1</t>
  </si>
  <si>
    <t>ANTSRO029_H2_T2_R2</t>
  </si>
  <si>
    <t>ANTSRO029_H2_T2_R3</t>
  </si>
  <si>
    <t>ANTSRO029_H2_T2_R4</t>
  </si>
  <si>
    <t>ANTSRO029_H2_T2_R5</t>
  </si>
  <si>
    <t>91400071_H2_T2_R1</t>
  </si>
  <si>
    <t>91400071_H2_T2_R2</t>
  </si>
  <si>
    <t>91400071_H2_T2_R3</t>
  </si>
  <si>
    <t>91400071_H2_T2_R4</t>
  </si>
  <si>
    <t>91400071_H2_T2_R5</t>
  </si>
  <si>
    <t>91400070_H2_T3_R1</t>
  </si>
  <si>
    <t>91400070_H2_T3_R2</t>
  </si>
  <si>
    <t>91400070_H2_T3_R3</t>
  </si>
  <si>
    <t>91400070_H2_T3_R4</t>
  </si>
  <si>
    <t>91400070_H2_T3_R5</t>
  </si>
  <si>
    <t>ANTSNC003_H2_T3_R1</t>
  </si>
  <si>
    <t>ANTSNC003_H2_T3_R2</t>
  </si>
  <si>
    <t>ANTSNC003_H2_T3_R3</t>
  </si>
  <si>
    <t>ANTSNC003_H2_T3_R4</t>
  </si>
  <si>
    <t>ANTSNC003_H2_T3_R5</t>
  </si>
  <si>
    <t>ANTSRO030_H2_T3_R1</t>
  </si>
  <si>
    <t>ANTSRO030_H2_T3_R2</t>
  </si>
  <si>
    <t>ANTSRO030_H2_T3_R3</t>
  </si>
  <si>
    <t>ANTSRO030_H2_T3_R4</t>
  </si>
  <si>
    <t>ANTSRO030_H2_T3_R5</t>
  </si>
  <si>
    <t>ANTSRO029_H2_T3_R1</t>
  </si>
  <si>
    <t>ANTSRO029_H2_T3_R2</t>
  </si>
  <si>
    <t>ANTSRO029_H2_T3_R3</t>
  </si>
  <si>
    <t>ANTSRO029_H2_T3_R4</t>
  </si>
  <si>
    <t>ANTSRO029_H2_T3_R5</t>
  </si>
  <si>
    <t>91400071_H2_T3_R1</t>
  </si>
  <si>
    <t>91400071_H2_T3_R2</t>
  </si>
  <si>
    <t>91400071_H2_T3_R3</t>
  </si>
  <si>
    <t>91400071_H2_T3_R4</t>
  </si>
  <si>
    <t>91400071_H2_T3_R5</t>
  </si>
  <si>
    <t>91400070_H2_T4_R1</t>
  </si>
  <si>
    <t>91400070_H2_T4_R2</t>
  </si>
  <si>
    <t>91400070_H2_T4_R3</t>
  </si>
  <si>
    <t>91400070_H2_T4_R4</t>
  </si>
  <si>
    <t>91400070_H2_T4_R5</t>
  </si>
  <si>
    <t>ANTSNC003_H2_T4_R1</t>
  </si>
  <si>
    <t>ANTSNC003_H2_T4_R2</t>
  </si>
  <si>
    <t>ANTSNC003_H2_T4_R3</t>
  </si>
  <si>
    <t>ANTSNC003_H2_T4_R4</t>
  </si>
  <si>
    <t>ANTSNC003_H2_T4_R5</t>
  </si>
  <si>
    <t>ANTSRO030_H2_T4_R1</t>
  </si>
  <si>
    <t>ANTSRO030_H2_T4_R2</t>
  </si>
  <si>
    <t>ANTSRO030_H2_T4_R3</t>
  </si>
  <si>
    <t>ANTSRO030_H2_T4_R4</t>
  </si>
  <si>
    <t>ANTSRO030_H2_T4_R5</t>
  </si>
  <si>
    <t>ANTSRO029_H2_T4_R1</t>
  </si>
  <si>
    <t>ANTSRO029_H2_T4_R2</t>
  </si>
  <si>
    <t>ANTSRO029_H2_T4_R3</t>
  </si>
  <si>
    <t>ANTSRO029_H2_T4_R4</t>
  </si>
  <si>
    <t>ANTSRO029_H2_T4_R5</t>
  </si>
  <si>
    <t>91400071_H2_T4_R1</t>
  </si>
  <si>
    <t>91400071_H2_T4_R2</t>
  </si>
  <si>
    <t>91400071_H2_T4_R3</t>
  </si>
  <si>
    <t>91400071_H2_T4_R4</t>
  </si>
  <si>
    <t>91400071_H2_T4_R5</t>
  </si>
  <si>
    <t>Especie</t>
  </si>
  <si>
    <t>Calibre</t>
  </si>
  <si>
    <t>Tiempo</t>
  </si>
  <si>
    <t>Codigo</t>
  </si>
  <si>
    <t>Genotipo</t>
  </si>
  <si>
    <t>Repetición</t>
  </si>
  <si>
    <t>Pseudosteam Luminosity</t>
  </si>
  <si>
    <t>a* Pseudosteam</t>
  </si>
  <si>
    <t>b* Pseudosteam</t>
  </si>
  <si>
    <t>Leave luminosity</t>
  </si>
  <si>
    <t>a* Leave</t>
  </si>
  <si>
    <t>b* Leave</t>
  </si>
  <si>
    <t>Chlorophyll relative content (SPAD)</t>
  </si>
  <si>
    <t>Fresh weight (g)</t>
  </si>
  <si>
    <t>Peso_fresco_kg</t>
  </si>
  <si>
    <t>Pseudosteam Diameter (cm)</t>
  </si>
  <si>
    <t>Pseudosteam length (cm)</t>
  </si>
  <si>
    <t>Leaves length (cm)</t>
  </si>
  <si>
    <t>m</t>
  </si>
  <si>
    <t>CI</t>
  </si>
  <si>
    <t>ATANPseudo</t>
  </si>
  <si>
    <t>Pseudosteam Hue</t>
  </si>
  <si>
    <t>Pseudosteam Chroma</t>
  </si>
  <si>
    <t>ATANHoja</t>
  </si>
  <si>
    <t>Leave Hue</t>
  </si>
  <si>
    <t>Leave Chroma</t>
  </si>
  <si>
    <t>Firmness (N)</t>
  </si>
  <si>
    <t>SST</t>
  </si>
  <si>
    <t>TSS (°BRIX)</t>
  </si>
  <si>
    <t>NaOH</t>
  </si>
  <si>
    <t>Factor_D</t>
  </si>
  <si>
    <t>TTA</t>
  </si>
  <si>
    <t>TTA (%)</t>
  </si>
  <si>
    <t>Experimento</t>
  </si>
  <si>
    <t>Respiration_rate</t>
  </si>
  <si>
    <t>Tiempo_label</t>
  </si>
  <si>
    <t>Moisture (%)</t>
  </si>
  <si>
    <t>Column in 02_Raw_data</t>
  </si>
  <si>
    <t>Name in 01_Analysis_ready</t>
  </si>
  <si>
    <t>Unit</t>
  </si>
  <si>
    <t>Role</t>
  </si>
  <si>
    <t>Description</t>
  </si>
  <si>
    <t>factor</t>
  </si>
  <si>
    <t>Species; normalised to "A. fistulosum" / "Hybrid" in 01.</t>
  </si>
  <si>
    <t>Calibre class (Broad / Medium / Short). Confounded with genotype: each material has a single calibre and all four hybrids are Short, so it cannot be tested as a factor.</t>
  </si>
  <si>
    <t>1–4</t>
  </si>
  <si>
    <t>Sampling occasion.</t>
  </si>
  <si>
    <t>days</t>
  </si>
  <si>
    <t>Days after harvest: 2, 6, 10, 14.</t>
  </si>
  <si>
    <t>duplicate</t>
  </si>
  <si>
    <t>Identical to Genotipo in every row; dropped from 01.</t>
  </si>
  <si>
    <t>Genotype, nested within species.</t>
  </si>
  <si>
    <t>1–6</t>
  </si>
  <si>
    <t>Subsample (pseudostem) within genotype × harvest × time. Not a replicate for genotype — see 08.</t>
  </si>
  <si>
    <t>1–2</t>
  </si>
  <si>
    <t>Sowing / harvest block. This is the "Harvest (block)" effect of the ART ANOVA.</t>
  </si>
  <si>
    <t>key</t>
  </si>
  <si>
    <t>Built in 01 as genotype_H&lt;harvest&gt;_T&lt;time&gt;_R&lt;replicate&gt;: unique per pseudostem.</t>
  </si>
  <si>
    <t>L*</t>
  </si>
  <si>
    <t>final variable</t>
  </si>
  <si>
    <t>CIELAB lightness of the pseudostem.</t>
  </si>
  <si>
    <t>a*</t>
  </si>
  <si>
    <t>intermediate</t>
  </si>
  <si>
    <t>CIELAB a* of the pseudostem; feeds hue and chroma.</t>
  </si>
  <si>
    <t>b*</t>
  </si>
  <si>
    <t>CIELAB b* of the pseudostem; feeds hue and chroma.</t>
  </si>
  <si>
    <t>rad</t>
  </si>
  <si>
    <t>arctan(b*/a*) for the pseudostem; converted to hue angle.</t>
  </si>
  <si>
    <t>h°</t>
  </si>
  <si>
    <t>Hue angle of the pseudostem.</t>
  </si>
  <si>
    <t>C*</t>
  </si>
  <si>
    <t>Chroma (colour saturation) of the pseudostem.</t>
  </si>
  <si>
    <t>CIELAB lightness of the leaf.</t>
  </si>
  <si>
    <t>CIELAB a* of the leaf.</t>
  </si>
  <si>
    <t>CIELAB b* of the leaf.</t>
  </si>
  <si>
    <t>arctan(b*/a*) for the leaf.</t>
  </si>
  <si>
    <t>Hue angle of the leaf.</t>
  </si>
  <si>
    <t>Chroma of the leaf.</t>
  </si>
  <si>
    <t>Colour index derived from the CIELAB coordinates; not used in the reported analysis.</t>
  </si>
  <si>
    <t>SPAD</t>
  </si>
  <si>
    <t>Relative chlorophyll content.</t>
  </si>
  <si>
    <t>g</t>
  </si>
  <si>
    <t>Fresh weight of the pseudostem.</t>
  </si>
  <si>
    <t>kg</t>
  </si>
  <si>
    <t>Fresh weight in kg; identical information, used only to scale respiration.</t>
  </si>
  <si>
    <t>cm</t>
  </si>
  <si>
    <t>Pseudostem diameter.</t>
  </si>
  <si>
    <t>Pseudostem length.</t>
  </si>
  <si>
    <t>Leaf length.</t>
  </si>
  <si>
    <t>Slope of the CO₂ accumulation curve in the respiration chamber.</t>
  </si>
  <si>
    <t>Respiration rate $rCO_{2}...$</t>
  </si>
  <si>
    <t>cm³ s⁻¹ g⁻¹</t>
  </si>
  <si>
    <t>superseded</t>
  </si>
  <si>
    <t>First respiration series (range 12–551). NOT the one analysed: its non-null count is 403, against the 394 reported.</t>
  </si>
  <si>
    <t>mL CO₂ kg⁻¹ h⁻¹</t>
  </si>
  <si>
    <t>Respiration rate actually analysed (range 12–226); non-null count matches the reported n of 394.</t>
  </si>
  <si>
    <t>N</t>
  </si>
  <si>
    <t>Puncture / compression force.</t>
  </si>
  <si>
    <t>°Brix</t>
  </si>
  <si>
    <t>Refractometer reading before the dilution factor is applied.</t>
  </si>
  <si>
    <t>Total soluble solids.</t>
  </si>
  <si>
    <t>mL</t>
  </si>
  <si>
    <t>Volume of NaOH used in the titration.</t>
  </si>
  <si>
    <t>Dilution factor of the titration (constant, 5).</t>
  </si>
  <si>
    <t>fraction</t>
  </si>
  <si>
    <t>Titratable acidity as a fraction; the same quantity as TTA (%) divided by 100.</t>
  </si>
  <si>
    <t>%</t>
  </si>
  <si>
    <t>Titratable acidity.</t>
  </si>
  <si>
    <t>Moisture content. Harvest 2 only (199 plants).</t>
  </si>
  <si>
    <t>mg g⁻¹ DW</t>
  </si>
  <si>
    <t>Pyruvic acid, joined from 04. Harvest 1 and DAH 2/14 only, and only for the eight materials whose plate labels are unambiguous.</t>
  </si>
  <si>
    <t>flag</t>
  </si>
  <si>
    <t>How the pyruvic value on that row was obtained: "plate order (assumed)", "ambiguous plate labels — not matched", or "not measured".</t>
  </si>
  <si>
    <t>n</t>
  </si>
  <si>
    <t>Fresh weight</t>
  </si>
  <si>
    <t>1, 9</t>
  </si>
  <si>
    <t>ns</t>
  </si>
  <si>
    <t>*</t>
  </si>
  <si>
    <t>8, 9</t>
  </si>
  <si>
    <t>3, 352</t>
  </si>
  <si>
    <t>***</t>
  </si>
  <si>
    <t>**</t>
  </si>
  <si>
    <t>24, 352</t>
  </si>
  <si>
    <t>Exponential</t>
  </si>
  <si>
    <t>Pseudostem diameter</t>
  </si>
  <si>
    <t>3, 349</t>
  </si>
  <si>
    <t>24, 349</t>
  </si>
  <si>
    <t>Linear</t>
  </si>
  <si>
    <t>Pseudostem length</t>
  </si>
  <si>
    <t>3, 355</t>
  </si>
  <si>
    <t>24, 355</t>
  </si>
  <si>
    <t>Leaves length</t>
  </si>
  <si>
    <t>3, 353</t>
  </si>
  <si>
    <t>24, 353</t>
  </si>
  <si>
    <t>Firmness</t>
  </si>
  <si>
    <t>Chlorophyll (SPAD)</t>
  </si>
  <si>
    <t>3, 350</t>
  </si>
  <si>
    <t>24, 350</t>
  </si>
  <si>
    <t>Quadratic</t>
  </si>
  <si>
    <t>Pseudostem Luminosity</t>
  </si>
  <si>
    <t>3, 351</t>
  </si>
  <si>
    <t>24, 351</t>
  </si>
  <si>
    <t>Pseudostem Hue</t>
  </si>
  <si>
    <t>3, 343</t>
  </si>
  <si>
    <t>24, 343</t>
  </si>
  <si>
    <t>Pseudostem Chroma</t>
  </si>
  <si>
    <t>3, 347</t>
  </si>
  <si>
    <t>24, 347</t>
  </si>
  <si>
    <t>Leaf Luminosity</t>
  </si>
  <si>
    <t>Leaf Hue</t>
  </si>
  <si>
    <t>Leaf Chroma</t>
  </si>
  <si>
    <t>Weibull</t>
  </si>
  <si>
    <t>3, 159</t>
  </si>
  <si>
    <t>24, 159</t>
  </si>
  <si>
    <t>TSS</t>
  </si>
  <si>
    <t>3, 348</t>
  </si>
  <si>
    <t>24, 348</t>
  </si>
  <si>
    <t>3, 344</t>
  </si>
  <si>
    <t>24, 344</t>
  </si>
  <si>
    <t>Logarithmic</t>
  </si>
  <si>
    <t>1, 77</t>
  </si>
  <si>
    <t>8, 77</t>
  </si>
  <si>
    <t>Section</t>
  </si>
  <si>
    <t>Effect</t>
  </si>
  <si>
    <t>Statistic</t>
  </si>
  <si>
    <t>Pyruvic Acid</t>
  </si>
  <si>
    <t>Sample</t>
  </si>
  <si>
    <t>n (pseudostems measured)</t>
  </si>
  <si>
    <t>PLOT stratum (Error A)</t>
  </si>
  <si>
    <t>Harvest (block)</t>
  </si>
  <si>
    <t>F</t>
  </si>
  <si>
    <t>df</t>
  </si>
  <si>
    <t>p</t>
  </si>
  <si>
    <t>&lt;0.001</t>
  </si>
  <si>
    <t>Sig.</t>
  </si>
  <si>
    <t>Species</t>
  </si>
  <si>
    <t>Genotype(Species)</t>
  </si>
  <si>
    <t>PLANT stratum (Error B)</t>
  </si>
  <si>
    <t>Time</t>
  </si>
  <si>
    <t>Species x Time</t>
  </si>
  <si>
    <t>Genotype(Species) x Time</t>
  </si>
  <si>
    <t>h</t>
  </si>
  <si>
    <t>C</t>
  </si>
  <si>
    <t>L</t>
  </si>
  <si>
    <t>mL CO2 kg-1 h-1</t>
  </si>
  <si>
    <t>Variable</t>
  </si>
  <si>
    <t>Unidad</t>
  </si>
  <si>
    <t>Modelo
ajustado</t>
  </si>
  <si>
    <t>Lectura
cinética</t>
  </si>
  <si>
    <t>ΔAICc
vs. lineal</t>
  </si>
  <si>
    <t>k
(unid./día)</t>
  </si>
  <si>
    <t>SE(k)</t>
  </si>
  <si>
    <t>Δ_R
(%)</t>
  </si>
  <si>
    <t>AUC_d
(%)</t>
  </si>
  <si>
    <t>CV
(%)</t>
  </si>
  <si>
    <t>Umbral
(50% del cambio)</t>
  </si>
  <si>
    <t>SI
(0–100)</t>
  </si>
  <si>
    <t>Especie más
estable (SI)</t>
  </si>
  <si>
    <t>Empírico (sin lectura cinética)</t>
  </si>
  <si>
    <t>Primer orden (tasa proporcional)</t>
  </si>
  <si>
    <t>Orden cero (tasa constante)</t>
  </si>
  <si>
    <t>No lineal (sin orden cinético clásico)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</si>
</sst>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\+0.0;\-0.0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b/>
      <sz val="9"/>
      <color rgb="FFFFFFFF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0.5"/>
      <color rgb="FFFFFF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546A"/>
      </patternFill>
    </fill>
    <fill>
      <patternFill patternType="solid">
        <fgColor rgb="FFEDEDED"/>
      </patternFill>
    </fill>
    <fill>
      <patternFill patternType="solid">
        <fgColor rgb="FFEAF1F8"/>
      </patternFill>
    </fill>
    <fill>
      <patternFill patternType="solid">
        <fgColor rgb="FFF2F7F2"/>
      </patternFill>
    </fill>
    <fill>
      <patternFill patternType="solid">
        <fgColor rgb="FFF7F7F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167" fontId="2" fillId="7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6"/>
  <sheetViews>
    <sheetView showGridLines="0" tabSelected="1" workbookViewId="0">
      <pane xSplit="4" ySplit="1" topLeftCell="E2" activePane="bottomRight" state="frozen"/>
      <selection pane="topRight"/>
      <selection pane="bottomLeft"/>
      <selection pane="bottomRight" activeCell="Z1" sqref="Z1:Z1048576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10" customWidth="1"/>
    <col min="4" max="4" width="12" customWidth="1"/>
    <col min="5" max="5" width="11" customWidth="1"/>
    <col min="6" max="6" width="13" customWidth="1"/>
    <col min="7" max="7" width="11" customWidth="1"/>
    <col min="8" max="8" width="12" customWidth="1"/>
    <col min="9" max="9" width="17" customWidth="1"/>
    <col min="10" max="10" width="25" customWidth="1"/>
    <col min="11" max="11" width="23" customWidth="1"/>
    <col min="12" max="12" width="19" customWidth="1"/>
    <col min="13" max="13" width="13" customWidth="1"/>
    <col min="14" max="14" width="19" customWidth="1"/>
    <col min="15" max="15" width="26" customWidth="1"/>
    <col min="16" max="16" width="21" customWidth="1"/>
    <col min="17" max="17" width="22" customWidth="1"/>
    <col min="18" max="18" width="20" customWidth="1"/>
    <col min="19" max="19" width="15" customWidth="1"/>
    <col min="20" max="20" width="16" customWidth="1"/>
    <col min="21" max="21" width="19" customWidth="1"/>
    <col min="22" max="22" width="11" customWidth="1"/>
    <col min="23" max="23" width="20" customWidth="1"/>
    <col min="24" max="24" width="31" customWidth="1"/>
    <col min="25" max="25" width="23" customWidth="1"/>
  </cols>
  <sheetData>
    <row r="1" spans="1:25" ht="30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 x14ac:dyDescent="0.3">
      <c r="A2" s="2" t="s">
        <v>29</v>
      </c>
      <c r="B2" s="2" t="s">
        <v>30</v>
      </c>
      <c r="C2" s="2" t="s">
        <v>31</v>
      </c>
      <c r="D2" s="2" t="s">
        <v>32</v>
      </c>
      <c r="E2" s="2">
        <v>1</v>
      </c>
      <c r="F2" s="2">
        <v>1</v>
      </c>
      <c r="G2" s="2">
        <v>2</v>
      </c>
      <c r="H2" s="2">
        <v>1</v>
      </c>
      <c r="I2" s="3">
        <v>33.21</v>
      </c>
      <c r="J2" s="3">
        <v>18.04</v>
      </c>
      <c r="K2" s="3">
        <v>26</v>
      </c>
      <c r="L2" s="3">
        <v>52</v>
      </c>
      <c r="M2" s="3">
        <v>7.32</v>
      </c>
      <c r="N2" s="3">
        <v>41.4</v>
      </c>
      <c r="O2" s="3">
        <v>75.2</v>
      </c>
      <c r="P2" s="3">
        <v>114.1094306</v>
      </c>
      <c r="Q2" s="3">
        <v>11.065279029999999</v>
      </c>
      <c r="R2" s="3">
        <v>45.84</v>
      </c>
      <c r="S2" s="3">
        <v>125.4929346</v>
      </c>
      <c r="T2" s="3">
        <v>26.971785260000001</v>
      </c>
      <c r="U2" s="3"/>
      <c r="V2" s="3">
        <v>10</v>
      </c>
      <c r="W2" s="3">
        <v>11.9193</v>
      </c>
      <c r="X2" s="3">
        <v>90.679146099999997</v>
      </c>
      <c r="Y2" s="3">
        <v>0.40699053127025731</v>
      </c>
    </row>
    <row r="3" spans="1:25" x14ac:dyDescent="0.3">
      <c r="A3" s="2" t="s">
        <v>33</v>
      </c>
      <c r="B3" s="2" t="s">
        <v>30</v>
      </c>
      <c r="C3" s="2" t="s">
        <v>31</v>
      </c>
      <c r="D3" s="2" t="s">
        <v>32</v>
      </c>
      <c r="E3" s="2">
        <v>1</v>
      </c>
      <c r="F3" s="2">
        <v>1</v>
      </c>
      <c r="G3" s="2">
        <v>2</v>
      </c>
      <c r="H3" s="2">
        <v>2</v>
      </c>
      <c r="I3" s="3">
        <v>34.700000000000003</v>
      </c>
      <c r="J3" s="3">
        <v>16.88</v>
      </c>
      <c r="K3" s="3">
        <v>25</v>
      </c>
      <c r="L3" s="3">
        <v>53</v>
      </c>
      <c r="M3" s="3">
        <v>10.62</v>
      </c>
      <c r="N3" s="3">
        <v>48.2</v>
      </c>
      <c r="O3" s="3">
        <v>74.5</v>
      </c>
      <c r="P3" s="3">
        <v>114.0856192</v>
      </c>
      <c r="Q3" s="3">
        <v>11.78616562</v>
      </c>
      <c r="R3" s="3">
        <v>45.16</v>
      </c>
      <c r="S3" s="3">
        <v>130.6301029</v>
      </c>
      <c r="T3" s="3">
        <v>21.34595981</v>
      </c>
      <c r="U3" s="3"/>
      <c r="V3" s="3">
        <v>10</v>
      </c>
      <c r="W3" s="3">
        <v>11.778600000000001</v>
      </c>
      <c r="X3" s="3">
        <v>67.975309319999994</v>
      </c>
      <c r="Y3" s="3">
        <v>0.72729354865984708</v>
      </c>
    </row>
    <row r="4" spans="1:25" x14ac:dyDescent="0.3">
      <c r="A4" s="2" t="s">
        <v>34</v>
      </c>
      <c r="B4" s="2" t="s">
        <v>30</v>
      </c>
      <c r="C4" s="2" t="s">
        <v>31</v>
      </c>
      <c r="D4" s="2" t="s">
        <v>32</v>
      </c>
      <c r="E4" s="2">
        <v>1</v>
      </c>
      <c r="F4" s="2">
        <v>1</v>
      </c>
      <c r="G4" s="2">
        <v>2</v>
      </c>
      <c r="H4" s="2">
        <v>3</v>
      </c>
      <c r="I4" s="3">
        <v>34.049999999999997</v>
      </c>
      <c r="J4" s="3">
        <v>13.16</v>
      </c>
      <c r="K4" s="3">
        <v>26</v>
      </c>
      <c r="L4" s="3">
        <v>66</v>
      </c>
      <c r="M4" s="3">
        <v>9.7799999999999994</v>
      </c>
      <c r="N4" s="3">
        <v>46.4</v>
      </c>
      <c r="O4" s="3">
        <v>76.45</v>
      </c>
      <c r="P4" s="3">
        <v>110.3460013</v>
      </c>
      <c r="Q4" s="3">
        <v>11.188038260000001</v>
      </c>
      <c r="R4" s="3">
        <v>42.68</v>
      </c>
      <c r="S4" s="3">
        <v>126.4912202</v>
      </c>
      <c r="T4" s="3">
        <v>28.770627380000001</v>
      </c>
      <c r="U4" s="3"/>
      <c r="V4" s="3">
        <v>8.5</v>
      </c>
      <c r="W4" s="3">
        <v>17.6478</v>
      </c>
      <c r="X4" s="3">
        <v>65.833343279999994</v>
      </c>
      <c r="Y4" s="3">
        <v>0.98294825061300517</v>
      </c>
    </row>
    <row r="5" spans="1:25" x14ac:dyDescent="0.3">
      <c r="A5" s="2" t="s">
        <v>35</v>
      </c>
      <c r="B5" s="2" t="s">
        <v>30</v>
      </c>
      <c r="C5" s="2" t="s">
        <v>31</v>
      </c>
      <c r="D5" s="2" t="s">
        <v>32</v>
      </c>
      <c r="E5" s="2">
        <v>1</v>
      </c>
      <c r="F5" s="2">
        <v>1</v>
      </c>
      <c r="G5" s="2">
        <v>2</v>
      </c>
      <c r="H5" s="2">
        <v>4</v>
      </c>
      <c r="I5" s="3">
        <v>38.39</v>
      </c>
      <c r="J5" s="3">
        <v>21.22</v>
      </c>
      <c r="K5" s="3">
        <v>27</v>
      </c>
      <c r="L5" s="3">
        <v>55</v>
      </c>
      <c r="M5" s="3">
        <v>15.51</v>
      </c>
      <c r="N5" s="3">
        <v>42.1</v>
      </c>
      <c r="O5" s="3">
        <v>73.56</v>
      </c>
      <c r="P5" s="3">
        <v>103.16330170000001</v>
      </c>
      <c r="Q5" s="3">
        <v>14.49075912</v>
      </c>
      <c r="R5" s="3">
        <v>46.28</v>
      </c>
      <c r="S5" s="3">
        <v>128.65210490000001</v>
      </c>
      <c r="T5" s="3">
        <v>24.175698539999999</v>
      </c>
      <c r="U5" s="3"/>
      <c r="V5" s="3">
        <v>7.5</v>
      </c>
      <c r="W5" s="3">
        <v>9.4469999999999992</v>
      </c>
      <c r="X5" s="3">
        <v>75.633631730000005</v>
      </c>
      <c r="Y5" s="3">
        <v>0.89919929652490138</v>
      </c>
    </row>
    <row r="6" spans="1:25" x14ac:dyDescent="0.3">
      <c r="A6" s="2" t="s">
        <v>36</v>
      </c>
      <c r="B6" s="2" t="s">
        <v>30</v>
      </c>
      <c r="C6" s="2" t="s">
        <v>31</v>
      </c>
      <c r="D6" s="2" t="s">
        <v>32</v>
      </c>
      <c r="E6" s="2">
        <v>1</v>
      </c>
      <c r="F6" s="2">
        <v>1</v>
      </c>
      <c r="G6" s="2">
        <v>2</v>
      </c>
      <c r="H6" s="2">
        <v>5</v>
      </c>
      <c r="I6" s="3">
        <v>33.61</v>
      </c>
      <c r="J6" s="3">
        <v>16.16</v>
      </c>
      <c r="K6" s="3">
        <v>25</v>
      </c>
      <c r="L6" s="3">
        <v>53</v>
      </c>
      <c r="M6" s="3">
        <v>11.63</v>
      </c>
      <c r="N6" s="3">
        <v>45.4</v>
      </c>
      <c r="O6" s="3">
        <v>72.63</v>
      </c>
      <c r="P6" s="3">
        <v>112.90163389999999</v>
      </c>
      <c r="Q6" s="3">
        <v>13.43939359</v>
      </c>
      <c r="R6" s="3">
        <v>45.34</v>
      </c>
      <c r="S6" s="3">
        <v>129.79806009999999</v>
      </c>
      <c r="T6" s="3">
        <v>20.356583700000002</v>
      </c>
      <c r="U6" s="3"/>
      <c r="V6" s="3">
        <v>7</v>
      </c>
      <c r="W6" s="3">
        <v>15.3028</v>
      </c>
      <c r="X6" s="3">
        <v>75.385109040000003</v>
      </c>
      <c r="Y6" s="3">
        <v>0.60534331726839696</v>
      </c>
    </row>
    <row r="7" spans="1:25" x14ac:dyDescent="0.3">
      <c r="A7" s="2" t="s">
        <v>37</v>
      </c>
      <c r="B7" s="2" t="s">
        <v>30</v>
      </c>
      <c r="C7" s="2" t="s">
        <v>31</v>
      </c>
      <c r="D7" s="2" t="s">
        <v>32</v>
      </c>
      <c r="E7" s="2">
        <v>1</v>
      </c>
      <c r="F7" s="2">
        <v>1</v>
      </c>
      <c r="G7" s="2">
        <v>2</v>
      </c>
      <c r="H7" s="2">
        <v>6</v>
      </c>
      <c r="I7" s="3"/>
      <c r="J7" s="3">
        <v>15.92</v>
      </c>
      <c r="K7" s="3">
        <v>25</v>
      </c>
      <c r="L7" s="3">
        <v>52</v>
      </c>
      <c r="M7" s="3">
        <v>9.66</v>
      </c>
      <c r="N7" s="3">
        <v>52.3</v>
      </c>
      <c r="O7" s="3">
        <v>71.13</v>
      </c>
      <c r="P7" s="3">
        <v>104.330293</v>
      </c>
      <c r="Q7" s="3">
        <v>15.110168760000001</v>
      </c>
      <c r="R7" s="3">
        <v>43.99</v>
      </c>
      <c r="S7" s="3">
        <v>129.9390205</v>
      </c>
      <c r="T7" s="3">
        <v>20.841900110000001</v>
      </c>
      <c r="U7" s="3"/>
      <c r="V7" s="3">
        <v>9</v>
      </c>
      <c r="W7" s="3">
        <v>14.5189</v>
      </c>
      <c r="X7" s="3">
        <v>66.230772470000005</v>
      </c>
      <c r="Y7" s="3"/>
    </row>
    <row r="8" spans="1:25" x14ac:dyDescent="0.3">
      <c r="A8" s="2" t="s">
        <v>38</v>
      </c>
      <c r="B8" s="2" t="s">
        <v>30</v>
      </c>
      <c r="C8" s="2" t="s">
        <v>39</v>
      </c>
      <c r="D8" s="2" t="s">
        <v>40</v>
      </c>
      <c r="E8" s="2">
        <v>1</v>
      </c>
      <c r="F8" s="2">
        <v>1</v>
      </c>
      <c r="G8" s="2">
        <v>2</v>
      </c>
      <c r="H8" s="2">
        <v>1</v>
      </c>
      <c r="I8" s="3">
        <v>55.46</v>
      </c>
      <c r="J8" s="3">
        <v>19</v>
      </c>
      <c r="K8" s="3">
        <v>27</v>
      </c>
      <c r="L8" s="3">
        <v>60</v>
      </c>
      <c r="M8" s="3">
        <v>14.5</v>
      </c>
      <c r="N8" s="3">
        <v>56.1</v>
      </c>
      <c r="O8" s="3">
        <v>72.430000000000007</v>
      </c>
      <c r="P8" s="3">
        <v>109.55981439999999</v>
      </c>
      <c r="Q8" s="3">
        <v>15.62150121</v>
      </c>
      <c r="R8" s="3">
        <v>40.799999999999997</v>
      </c>
      <c r="S8" s="3">
        <v>129.34732220000001</v>
      </c>
      <c r="T8" s="3">
        <v>21.466068570000001</v>
      </c>
      <c r="U8" s="3"/>
      <c r="V8" s="3">
        <v>10</v>
      </c>
      <c r="W8" s="3">
        <v>9.379999999999999</v>
      </c>
      <c r="X8" s="3">
        <v>86.483995019999995</v>
      </c>
      <c r="Y8" s="3">
        <v>1.3414525453059389</v>
      </c>
    </row>
    <row r="9" spans="1:25" x14ac:dyDescent="0.3">
      <c r="A9" s="2" t="s">
        <v>41</v>
      </c>
      <c r="B9" s="2" t="s">
        <v>30</v>
      </c>
      <c r="C9" s="2" t="s">
        <v>39</v>
      </c>
      <c r="D9" s="2" t="s">
        <v>40</v>
      </c>
      <c r="E9" s="2">
        <v>1</v>
      </c>
      <c r="F9" s="2">
        <v>1</v>
      </c>
      <c r="G9" s="2">
        <v>2</v>
      </c>
      <c r="H9" s="2">
        <v>2</v>
      </c>
      <c r="I9" s="3">
        <v>61.23</v>
      </c>
      <c r="J9" s="3">
        <v>17</v>
      </c>
      <c r="K9" s="3">
        <v>26</v>
      </c>
      <c r="L9" s="3">
        <v>56</v>
      </c>
      <c r="M9" s="3">
        <v>13.19</v>
      </c>
      <c r="N9" s="3">
        <v>56.4</v>
      </c>
      <c r="O9" s="3">
        <v>72.739999999999995</v>
      </c>
      <c r="P9" s="3">
        <v>99.582711860000003</v>
      </c>
      <c r="Q9" s="3">
        <v>14.05614456</v>
      </c>
      <c r="R9" s="3">
        <v>40.11</v>
      </c>
      <c r="S9" s="3">
        <v>124.1338528</v>
      </c>
      <c r="T9" s="3">
        <v>17.89239224</v>
      </c>
      <c r="U9" s="3"/>
      <c r="V9" s="3">
        <v>8.5</v>
      </c>
      <c r="W9" s="3">
        <v>12.897500000000001</v>
      </c>
      <c r="X9" s="3">
        <v>48.549992500000002</v>
      </c>
      <c r="Y9" s="3">
        <v>0.1278273509765788</v>
      </c>
    </row>
    <row r="10" spans="1:25" x14ac:dyDescent="0.3">
      <c r="A10" s="2" t="s">
        <v>42</v>
      </c>
      <c r="B10" s="2" t="s">
        <v>30</v>
      </c>
      <c r="C10" s="2" t="s">
        <v>39</v>
      </c>
      <c r="D10" s="2" t="s">
        <v>40</v>
      </c>
      <c r="E10" s="2">
        <v>1</v>
      </c>
      <c r="F10" s="2">
        <v>1</v>
      </c>
      <c r="G10" s="2">
        <v>2</v>
      </c>
      <c r="H10" s="2">
        <v>3</v>
      </c>
      <c r="I10" s="3">
        <v>61.81</v>
      </c>
      <c r="J10" s="3">
        <v>18.03</v>
      </c>
      <c r="K10" s="3">
        <v>26</v>
      </c>
      <c r="L10" s="3">
        <v>56</v>
      </c>
      <c r="M10" s="3">
        <v>12.13</v>
      </c>
      <c r="N10" s="3">
        <v>55.4</v>
      </c>
      <c r="O10" s="3">
        <v>69.540000000000006</v>
      </c>
      <c r="P10" s="3">
        <v>118.42901790000001</v>
      </c>
      <c r="Q10" s="3">
        <v>15.39676914</v>
      </c>
      <c r="R10" s="3">
        <v>40.450000000000003</v>
      </c>
      <c r="S10" s="3">
        <v>132.15432960000001</v>
      </c>
      <c r="T10" s="3">
        <v>17.805687290000002</v>
      </c>
      <c r="U10" s="3"/>
      <c r="V10" s="3">
        <v>7.5</v>
      </c>
      <c r="W10" s="3">
        <v>14.304500000000001</v>
      </c>
      <c r="X10" s="3">
        <v>55.243588940000002</v>
      </c>
      <c r="Y10" s="3">
        <v>1.0652279248048251</v>
      </c>
    </row>
    <row r="11" spans="1:25" x14ac:dyDescent="0.3">
      <c r="A11" s="2" t="s">
        <v>43</v>
      </c>
      <c r="B11" s="2" t="s">
        <v>30</v>
      </c>
      <c r="C11" s="2" t="s">
        <v>39</v>
      </c>
      <c r="D11" s="2" t="s">
        <v>40</v>
      </c>
      <c r="E11" s="2">
        <v>1</v>
      </c>
      <c r="F11" s="2">
        <v>1</v>
      </c>
      <c r="G11" s="2">
        <v>2</v>
      </c>
      <c r="H11" s="2">
        <v>4</v>
      </c>
      <c r="I11" s="3">
        <v>66.739999999999995</v>
      </c>
      <c r="J11" s="3">
        <v>20.22</v>
      </c>
      <c r="K11" s="3">
        <v>25</v>
      </c>
      <c r="L11" s="3">
        <v>62</v>
      </c>
      <c r="M11" s="3">
        <v>15.65</v>
      </c>
      <c r="N11" s="3">
        <v>53.6</v>
      </c>
      <c r="O11" s="3">
        <v>71.69</v>
      </c>
      <c r="P11" s="3">
        <v>111.3890798</v>
      </c>
      <c r="Q11" s="3">
        <v>12.393627390000001</v>
      </c>
      <c r="R11" s="3">
        <v>40.880000000000003</v>
      </c>
      <c r="S11" s="3">
        <v>126.5958268</v>
      </c>
      <c r="T11" s="3">
        <v>17.998205469999998</v>
      </c>
      <c r="U11" s="3"/>
      <c r="V11" s="3">
        <v>9.5</v>
      </c>
      <c r="W11" s="3">
        <v>13.634499999999999</v>
      </c>
      <c r="X11" s="3">
        <v>75.945775670000003</v>
      </c>
      <c r="Y11" s="3">
        <v>1.2606421510104</v>
      </c>
    </row>
    <row r="12" spans="1:25" x14ac:dyDescent="0.3">
      <c r="A12" s="2" t="s">
        <v>44</v>
      </c>
      <c r="B12" s="2" t="s">
        <v>30</v>
      </c>
      <c r="C12" s="2" t="s">
        <v>39</v>
      </c>
      <c r="D12" s="2" t="s">
        <v>40</v>
      </c>
      <c r="E12" s="2">
        <v>1</v>
      </c>
      <c r="F12" s="2">
        <v>1</v>
      </c>
      <c r="G12" s="2">
        <v>2</v>
      </c>
      <c r="H12" s="2">
        <v>5</v>
      </c>
      <c r="I12" s="3">
        <v>67.819999999999993</v>
      </c>
      <c r="J12" s="3">
        <v>18.13</v>
      </c>
      <c r="K12" s="3">
        <v>25</v>
      </c>
      <c r="L12" s="3">
        <v>58</v>
      </c>
      <c r="M12" s="3">
        <v>14.03</v>
      </c>
      <c r="N12" s="3">
        <v>51.8</v>
      </c>
      <c r="O12" s="3">
        <v>78.7</v>
      </c>
      <c r="P12" s="3">
        <v>118.29797960000001</v>
      </c>
      <c r="Q12" s="3">
        <v>15.52541465</v>
      </c>
      <c r="R12" s="3">
        <v>42.17</v>
      </c>
      <c r="S12" s="3">
        <v>134.2280724</v>
      </c>
      <c r="T12" s="3">
        <v>16.80238078</v>
      </c>
      <c r="U12" s="3"/>
      <c r="V12" s="3">
        <v>8</v>
      </c>
      <c r="W12" s="3">
        <v>10.666399999999999</v>
      </c>
      <c r="X12" s="3">
        <v>62.307249480000003</v>
      </c>
      <c r="Y12" s="3"/>
    </row>
    <row r="13" spans="1:25" x14ac:dyDescent="0.3">
      <c r="A13" s="2" t="s">
        <v>45</v>
      </c>
      <c r="B13" s="2" t="s">
        <v>30</v>
      </c>
      <c r="C13" s="2" t="s">
        <v>39</v>
      </c>
      <c r="D13" s="2" t="s">
        <v>40</v>
      </c>
      <c r="E13" s="2">
        <v>1</v>
      </c>
      <c r="F13" s="2">
        <v>1</v>
      </c>
      <c r="G13" s="2">
        <v>2</v>
      </c>
      <c r="H13" s="2">
        <v>6</v>
      </c>
      <c r="I13" s="3">
        <v>72.63</v>
      </c>
      <c r="J13" s="3">
        <v>17.11</v>
      </c>
      <c r="K13" s="3">
        <v>25</v>
      </c>
      <c r="L13" s="3">
        <v>53</v>
      </c>
      <c r="M13" s="3">
        <v>14.28</v>
      </c>
      <c r="N13" s="3">
        <v>50.05</v>
      </c>
      <c r="O13" s="3">
        <v>71.069999999999993</v>
      </c>
      <c r="P13" s="3">
        <v>114.2641193</v>
      </c>
      <c r="Q13" s="3">
        <v>14.25971949</v>
      </c>
      <c r="R13" s="3">
        <v>40.130000000000003</v>
      </c>
      <c r="S13" s="3">
        <v>124.39564369999999</v>
      </c>
      <c r="T13" s="3">
        <v>17.56036731</v>
      </c>
      <c r="U13" s="3"/>
      <c r="V13" s="3">
        <v>10</v>
      </c>
      <c r="W13" s="3">
        <v>10.5726</v>
      </c>
      <c r="X13" s="3">
        <v>64.229744569999994</v>
      </c>
      <c r="Y13" s="3"/>
    </row>
    <row r="14" spans="1:25" x14ac:dyDescent="0.3">
      <c r="A14" s="2" t="s">
        <v>46</v>
      </c>
      <c r="B14" s="2" t="s">
        <v>30</v>
      </c>
      <c r="C14" s="2" t="s">
        <v>39</v>
      </c>
      <c r="D14" s="2" t="s">
        <v>47</v>
      </c>
      <c r="E14" s="2">
        <v>1</v>
      </c>
      <c r="F14" s="2">
        <v>1</v>
      </c>
      <c r="G14" s="2">
        <v>2</v>
      </c>
      <c r="H14" s="2">
        <v>1</v>
      </c>
      <c r="I14" s="3">
        <v>74.45</v>
      </c>
      <c r="J14" s="3">
        <v>18.52</v>
      </c>
      <c r="K14" s="3">
        <v>27</v>
      </c>
      <c r="L14" s="3">
        <v>57</v>
      </c>
      <c r="M14" s="3">
        <v>16.72</v>
      </c>
      <c r="N14" s="3">
        <v>48.3</v>
      </c>
      <c r="O14" s="3">
        <v>77.05</v>
      </c>
      <c r="P14" s="3">
        <v>123.8381882</v>
      </c>
      <c r="Q14" s="3">
        <v>17.131973030000001</v>
      </c>
      <c r="R14" s="3">
        <v>48.53</v>
      </c>
      <c r="S14" s="3">
        <v>125.7588566</v>
      </c>
      <c r="T14" s="3">
        <v>28.269311980000001</v>
      </c>
      <c r="U14" s="3"/>
      <c r="V14" s="3">
        <v>10</v>
      </c>
      <c r="W14" s="3">
        <v>9.1388000000000034</v>
      </c>
      <c r="X14" s="3">
        <v>78.677274679999996</v>
      </c>
      <c r="Y14" s="3"/>
    </row>
    <row r="15" spans="1:25" x14ac:dyDescent="0.3">
      <c r="A15" s="2" t="s">
        <v>48</v>
      </c>
      <c r="B15" s="2" t="s">
        <v>30</v>
      </c>
      <c r="C15" s="2" t="s">
        <v>39</v>
      </c>
      <c r="D15" s="2" t="s">
        <v>47</v>
      </c>
      <c r="E15" s="2">
        <v>1</v>
      </c>
      <c r="F15" s="2">
        <v>1</v>
      </c>
      <c r="G15" s="2">
        <v>2</v>
      </c>
      <c r="H15" s="2">
        <v>2</v>
      </c>
      <c r="I15" s="3">
        <v>71.86</v>
      </c>
      <c r="J15" s="3">
        <v>17.43</v>
      </c>
      <c r="K15" s="3">
        <v>22</v>
      </c>
      <c r="L15" s="3">
        <v>59</v>
      </c>
      <c r="M15" s="3">
        <v>12.89</v>
      </c>
      <c r="N15" s="3">
        <v>48.6</v>
      </c>
      <c r="O15" s="3">
        <v>75.45</v>
      </c>
      <c r="P15" s="3">
        <v>112.9179439</v>
      </c>
      <c r="Q15" s="3">
        <v>13.14787055</v>
      </c>
      <c r="R15" s="3">
        <v>46.4</v>
      </c>
      <c r="S15" s="3">
        <v>124.5383854</v>
      </c>
      <c r="T15" s="3">
        <v>30.337107639999999</v>
      </c>
      <c r="U15" s="3"/>
      <c r="V15" s="3">
        <v>10.5</v>
      </c>
      <c r="W15" s="3">
        <v>11.684799999999999</v>
      </c>
      <c r="X15" s="3">
        <v>68.823811579999997</v>
      </c>
      <c r="Y15" s="3"/>
    </row>
    <row r="16" spans="1:25" x14ac:dyDescent="0.3">
      <c r="A16" s="2" t="s">
        <v>49</v>
      </c>
      <c r="B16" s="2" t="s">
        <v>30</v>
      </c>
      <c r="C16" s="2" t="s">
        <v>39</v>
      </c>
      <c r="D16" s="2" t="s">
        <v>47</v>
      </c>
      <c r="E16" s="2">
        <v>1</v>
      </c>
      <c r="F16" s="2">
        <v>1</v>
      </c>
      <c r="G16" s="2">
        <v>2</v>
      </c>
      <c r="H16" s="2">
        <v>3</v>
      </c>
      <c r="I16" s="3">
        <v>69.66</v>
      </c>
      <c r="J16" s="3">
        <v>15.56</v>
      </c>
      <c r="K16" s="3">
        <v>26</v>
      </c>
      <c r="L16" s="3">
        <v>53</v>
      </c>
      <c r="M16" s="3">
        <v>12.24</v>
      </c>
      <c r="N16" s="3">
        <v>48</v>
      </c>
      <c r="O16" s="3">
        <v>69.19</v>
      </c>
      <c r="P16" s="3">
        <v>113.9492472</v>
      </c>
      <c r="Q16" s="3">
        <v>17.934059770000001</v>
      </c>
      <c r="R16" s="3">
        <v>44.12</v>
      </c>
      <c r="S16" s="3">
        <v>126.7008505</v>
      </c>
      <c r="T16" s="3">
        <v>24.446106029999999</v>
      </c>
      <c r="U16" s="3"/>
      <c r="V16" s="3">
        <v>12</v>
      </c>
      <c r="W16" s="3">
        <v>13.5474</v>
      </c>
      <c r="X16" s="3">
        <v>68.376599909999996</v>
      </c>
      <c r="Y16" s="3"/>
    </row>
    <row r="17" spans="1:25" x14ac:dyDescent="0.3">
      <c r="A17" s="2" t="s">
        <v>50</v>
      </c>
      <c r="B17" s="2" t="s">
        <v>30</v>
      </c>
      <c r="C17" s="2" t="s">
        <v>39</v>
      </c>
      <c r="D17" s="2" t="s">
        <v>47</v>
      </c>
      <c r="E17" s="2">
        <v>1</v>
      </c>
      <c r="F17" s="2">
        <v>1</v>
      </c>
      <c r="G17" s="2">
        <v>2</v>
      </c>
      <c r="H17" s="2">
        <v>4</v>
      </c>
      <c r="I17" s="3">
        <v>63.05</v>
      </c>
      <c r="J17" s="3">
        <v>18.899999999999999</v>
      </c>
      <c r="K17" s="3">
        <v>24</v>
      </c>
      <c r="L17" s="3">
        <v>50</v>
      </c>
      <c r="M17" s="3">
        <v>12.84</v>
      </c>
      <c r="N17" s="3">
        <v>46.9</v>
      </c>
      <c r="O17" s="3">
        <v>74.42</v>
      </c>
      <c r="P17" s="3">
        <v>125.5488979</v>
      </c>
      <c r="Q17" s="3">
        <v>17.354610340000001</v>
      </c>
      <c r="R17" s="3">
        <v>46.55</v>
      </c>
      <c r="S17" s="3">
        <v>127.56534790000001</v>
      </c>
      <c r="T17" s="3">
        <v>23.717748629999999</v>
      </c>
      <c r="U17" s="3"/>
      <c r="V17" s="3">
        <v>11.5</v>
      </c>
      <c r="W17" s="3">
        <v>11.229200000000001</v>
      </c>
      <c r="X17" s="3">
        <v>82.992393739999997</v>
      </c>
      <c r="Y17" s="3"/>
    </row>
    <row r="18" spans="1:25" x14ac:dyDescent="0.3">
      <c r="A18" s="2" t="s">
        <v>51</v>
      </c>
      <c r="B18" s="2" t="s">
        <v>30</v>
      </c>
      <c r="C18" s="2" t="s">
        <v>39</v>
      </c>
      <c r="D18" s="2" t="s">
        <v>47</v>
      </c>
      <c r="E18" s="2">
        <v>1</v>
      </c>
      <c r="F18" s="2">
        <v>1</v>
      </c>
      <c r="G18" s="2">
        <v>2</v>
      </c>
      <c r="H18" s="2">
        <v>5</v>
      </c>
      <c r="I18" s="3">
        <v>54.83</v>
      </c>
      <c r="J18" s="3">
        <v>17.25</v>
      </c>
      <c r="K18" s="3">
        <v>26</v>
      </c>
      <c r="L18" s="3">
        <v>58</v>
      </c>
      <c r="M18" s="3">
        <v>15.12</v>
      </c>
      <c r="N18" s="3">
        <v>46</v>
      </c>
      <c r="O18" s="3">
        <v>73.95</v>
      </c>
      <c r="P18" s="3">
        <v>111.00431279999999</v>
      </c>
      <c r="Q18" s="3">
        <v>21.230744219999998</v>
      </c>
      <c r="R18" s="3">
        <v>49.28</v>
      </c>
      <c r="S18" s="3">
        <v>124.03541439999999</v>
      </c>
      <c r="T18" s="3">
        <v>27.58574269</v>
      </c>
      <c r="U18" s="3"/>
      <c r="V18" s="3">
        <v>9.5</v>
      </c>
      <c r="W18" s="3">
        <v>11.363200000000001</v>
      </c>
      <c r="X18" s="3">
        <v>101.9910493</v>
      </c>
      <c r="Y18" s="3"/>
    </row>
    <row r="19" spans="1:25" x14ac:dyDescent="0.3">
      <c r="A19" s="2" t="s">
        <v>52</v>
      </c>
      <c r="B19" s="2" t="s">
        <v>30</v>
      </c>
      <c r="C19" s="2" t="s">
        <v>39</v>
      </c>
      <c r="D19" s="2" t="s">
        <v>47</v>
      </c>
      <c r="E19" s="2">
        <v>1</v>
      </c>
      <c r="F19" s="2">
        <v>1</v>
      </c>
      <c r="G19" s="2">
        <v>2</v>
      </c>
      <c r="H19" s="2">
        <v>6</v>
      </c>
      <c r="I19" s="3">
        <v>74.83</v>
      </c>
      <c r="J19" s="3">
        <v>15.93</v>
      </c>
      <c r="K19" s="3">
        <v>25</v>
      </c>
      <c r="L19" s="3">
        <v>55</v>
      </c>
      <c r="M19" s="3">
        <v>11.24</v>
      </c>
      <c r="N19" s="3">
        <v>45.9</v>
      </c>
      <c r="O19" s="3">
        <v>70.58</v>
      </c>
      <c r="P19" s="3">
        <v>112.2045845</v>
      </c>
      <c r="Q19" s="3">
        <v>15.823492030000001</v>
      </c>
      <c r="R19" s="3">
        <v>47.38</v>
      </c>
      <c r="S19" s="3">
        <v>125.3165374</v>
      </c>
      <c r="T19" s="3">
        <v>27.746192529999998</v>
      </c>
      <c r="U19" s="3"/>
      <c r="V19" s="3">
        <v>9.5</v>
      </c>
      <c r="W19" s="3">
        <v>9.5541999999999998</v>
      </c>
      <c r="X19" s="3">
        <v>62.725604400000002</v>
      </c>
      <c r="Y19" s="3"/>
    </row>
    <row r="20" spans="1:25" x14ac:dyDescent="0.3">
      <c r="A20" s="2" t="s">
        <v>53</v>
      </c>
      <c r="B20" s="2" t="s">
        <v>30</v>
      </c>
      <c r="C20" s="2" t="s">
        <v>31</v>
      </c>
      <c r="D20" s="2" t="s">
        <v>54</v>
      </c>
      <c r="E20" s="2">
        <v>1</v>
      </c>
      <c r="F20" s="2">
        <v>1</v>
      </c>
      <c r="G20" s="2">
        <v>2</v>
      </c>
      <c r="H20" s="2">
        <v>1</v>
      </c>
      <c r="I20" s="3">
        <v>83.18</v>
      </c>
      <c r="J20" s="3">
        <v>17.43</v>
      </c>
      <c r="K20" s="3">
        <v>26</v>
      </c>
      <c r="L20" s="3">
        <v>62</v>
      </c>
      <c r="M20" s="3">
        <v>12.2</v>
      </c>
      <c r="N20" s="3">
        <v>46.3</v>
      </c>
      <c r="O20" s="3">
        <v>69.58</v>
      </c>
      <c r="P20" s="3">
        <v>118.61417849999999</v>
      </c>
      <c r="Q20" s="3">
        <v>15.885141470000001</v>
      </c>
      <c r="R20" s="3">
        <v>44.49</v>
      </c>
      <c r="S20" s="3">
        <v>125.82579939999999</v>
      </c>
      <c r="T20" s="3">
        <v>26.78844527</v>
      </c>
      <c r="U20" s="3"/>
      <c r="V20" s="3">
        <v>8</v>
      </c>
      <c r="W20" s="3">
        <v>10.2912</v>
      </c>
      <c r="X20" s="3">
        <v>60.193862969999998</v>
      </c>
      <c r="Y20" s="3"/>
    </row>
    <row r="21" spans="1:25" x14ac:dyDescent="0.3">
      <c r="A21" s="2" t="s">
        <v>55</v>
      </c>
      <c r="B21" s="2" t="s">
        <v>30</v>
      </c>
      <c r="C21" s="2" t="s">
        <v>31</v>
      </c>
      <c r="D21" s="2" t="s">
        <v>54</v>
      </c>
      <c r="E21" s="2">
        <v>1</v>
      </c>
      <c r="F21" s="2">
        <v>1</v>
      </c>
      <c r="G21" s="2">
        <v>2</v>
      </c>
      <c r="H21" s="2">
        <v>2</v>
      </c>
      <c r="I21" s="3">
        <v>85.97</v>
      </c>
      <c r="J21" s="3">
        <v>17.690000000000001</v>
      </c>
      <c r="K21" s="3">
        <v>23</v>
      </c>
      <c r="L21" s="3">
        <v>60</v>
      </c>
      <c r="M21" s="3">
        <v>10.26</v>
      </c>
      <c r="N21" s="3">
        <v>46.5</v>
      </c>
      <c r="O21" s="3">
        <v>72.290000000000006</v>
      </c>
      <c r="P21" s="3">
        <v>116.25716920000001</v>
      </c>
      <c r="Q21" s="3">
        <v>12.49069585</v>
      </c>
      <c r="R21" s="3">
        <v>50.21</v>
      </c>
      <c r="S21" s="3">
        <v>123.1058938</v>
      </c>
      <c r="T21" s="3">
        <v>28.305047250000001</v>
      </c>
      <c r="U21" s="3"/>
      <c r="V21" s="3">
        <v>7</v>
      </c>
      <c r="W21" s="3">
        <v>10.974600000000001</v>
      </c>
      <c r="X21" s="3">
        <v>62.099664740000001</v>
      </c>
      <c r="Y21" s="3"/>
    </row>
    <row r="22" spans="1:25" x14ac:dyDescent="0.3">
      <c r="A22" s="2" t="s">
        <v>56</v>
      </c>
      <c r="B22" s="2" t="s">
        <v>30</v>
      </c>
      <c r="C22" s="2" t="s">
        <v>31</v>
      </c>
      <c r="D22" s="2" t="s">
        <v>54</v>
      </c>
      <c r="E22" s="2">
        <v>1</v>
      </c>
      <c r="F22" s="2">
        <v>1</v>
      </c>
      <c r="G22" s="2">
        <v>2</v>
      </c>
      <c r="H22" s="2">
        <v>3</v>
      </c>
      <c r="I22" s="3">
        <v>62.8</v>
      </c>
      <c r="J22" s="3">
        <v>17.579999999999998</v>
      </c>
      <c r="K22" s="3">
        <v>26</v>
      </c>
      <c r="L22" s="3">
        <v>62</v>
      </c>
      <c r="M22" s="3">
        <v>12.85</v>
      </c>
      <c r="N22" s="3">
        <v>47.4</v>
      </c>
      <c r="O22" s="3">
        <v>70.430000000000007</v>
      </c>
      <c r="P22" s="3">
        <v>116.2199148</v>
      </c>
      <c r="Q22" s="3">
        <v>16.54714134</v>
      </c>
      <c r="R22" s="3">
        <v>42.09</v>
      </c>
      <c r="S22" s="3">
        <v>128.1465336</v>
      </c>
      <c r="T22" s="3">
        <v>24.770151389999999</v>
      </c>
      <c r="U22" s="3"/>
      <c r="V22" s="3">
        <v>7</v>
      </c>
      <c r="W22" s="3">
        <v>7.9730000000000008</v>
      </c>
      <c r="X22" s="3">
        <v>76.665923890000002</v>
      </c>
      <c r="Y22" s="3"/>
    </row>
    <row r="23" spans="1:25" x14ac:dyDescent="0.3">
      <c r="A23" s="2" t="s">
        <v>57</v>
      </c>
      <c r="B23" s="2" t="s">
        <v>30</v>
      </c>
      <c r="C23" s="2" t="s">
        <v>31</v>
      </c>
      <c r="D23" s="2" t="s">
        <v>54</v>
      </c>
      <c r="E23" s="2">
        <v>1</v>
      </c>
      <c r="F23" s="2">
        <v>1</v>
      </c>
      <c r="G23" s="2">
        <v>2</v>
      </c>
      <c r="H23" s="2">
        <v>4</v>
      </c>
      <c r="I23" s="3">
        <v>57.83</v>
      </c>
      <c r="J23" s="3">
        <v>17.170000000000002</v>
      </c>
      <c r="K23" s="3">
        <v>26</v>
      </c>
      <c r="L23" s="3">
        <v>61</v>
      </c>
      <c r="M23" s="3">
        <v>11.87</v>
      </c>
      <c r="N23" s="3">
        <v>46.9</v>
      </c>
      <c r="O23" s="3">
        <v>73.16</v>
      </c>
      <c r="P23" s="3">
        <v>107.6079756</v>
      </c>
      <c r="Q23" s="3">
        <v>15.91686565</v>
      </c>
      <c r="R23" s="3">
        <v>41.31</v>
      </c>
      <c r="S23" s="3">
        <v>128.6824092</v>
      </c>
      <c r="T23" s="3">
        <v>19.53577744</v>
      </c>
      <c r="U23" s="3"/>
      <c r="V23" s="3">
        <v>7</v>
      </c>
      <c r="W23" s="3">
        <v>10.6128</v>
      </c>
      <c r="X23" s="3">
        <v>82.654228059999994</v>
      </c>
      <c r="Y23" s="3"/>
    </row>
    <row r="24" spans="1:25" x14ac:dyDescent="0.3">
      <c r="A24" s="2" t="s">
        <v>58</v>
      </c>
      <c r="B24" s="2" t="s">
        <v>30</v>
      </c>
      <c r="C24" s="2" t="s">
        <v>31</v>
      </c>
      <c r="D24" s="2" t="s">
        <v>54</v>
      </c>
      <c r="E24" s="2">
        <v>1</v>
      </c>
      <c r="F24" s="2">
        <v>1</v>
      </c>
      <c r="G24" s="2">
        <v>2</v>
      </c>
      <c r="H24" s="2">
        <v>5</v>
      </c>
      <c r="I24" s="3">
        <v>58.24</v>
      </c>
      <c r="J24" s="3">
        <v>22.05</v>
      </c>
      <c r="K24" s="3">
        <v>26</v>
      </c>
      <c r="L24" s="3">
        <v>58</v>
      </c>
      <c r="M24" s="3">
        <v>13.2</v>
      </c>
      <c r="N24" s="3">
        <v>44.3</v>
      </c>
      <c r="O24" s="3">
        <v>72.760000000000005</v>
      </c>
      <c r="P24" s="3">
        <v>114.4269451</v>
      </c>
      <c r="Q24" s="3">
        <v>15.65819499</v>
      </c>
      <c r="R24" s="3">
        <v>43.57</v>
      </c>
      <c r="S24" s="3">
        <v>129.10077039999999</v>
      </c>
      <c r="T24" s="3">
        <v>23.117525820000001</v>
      </c>
      <c r="U24" s="3"/>
      <c r="V24" s="3">
        <v>6</v>
      </c>
      <c r="W24" s="3">
        <v>10.304600000000001</v>
      </c>
      <c r="X24" s="3">
        <v>80.187619780000006</v>
      </c>
      <c r="Y24" s="3"/>
    </row>
    <row r="25" spans="1:25" x14ac:dyDescent="0.3">
      <c r="A25" s="2" t="s">
        <v>59</v>
      </c>
      <c r="B25" s="2" t="s">
        <v>30</v>
      </c>
      <c r="C25" s="2" t="s">
        <v>31</v>
      </c>
      <c r="D25" s="2" t="s">
        <v>54</v>
      </c>
      <c r="E25" s="2">
        <v>1</v>
      </c>
      <c r="F25" s="2">
        <v>1</v>
      </c>
      <c r="G25" s="2">
        <v>2</v>
      </c>
      <c r="H25" s="2">
        <v>6</v>
      </c>
      <c r="I25" s="3">
        <v>60.44</v>
      </c>
      <c r="J25" s="3">
        <v>19.29</v>
      </c>
      <c r="K25" s="3">
        <v>27</v>
      </c>
      <c r="L25" s="3">
        <v>60</v>
      </c>
      <c r="M25" s="3">
        <v>9.3699999999999992</v>
      </c>
      <c r="N25" s="3">
        <v>42.6</v>
      </c>
      <c r="O25" s="3">
        <v>76.62</v>
      </c>
      <c r="P25" s="3">
        <v>108.5107177</v>
      </c>
      <c r="Q25" s="3">
        <v>16.449748249999999</v>
      </c>
      <c r="R25" s="3">
        <v>43.61</v>
      </c>
      <c r="S25" s="3">
        <v>127.6582568</v>
      </c>
      <c r="T25" s="3">
        <v>22.52213356</v>
      </c>
      <c r="U25" s="3"/>
      <c r="V25" s="3">
        <v>8</v>
      </c>
      <c r="W25" s="3">
        <v>11.3096</v>
      </c>
      <c r="X25" s="3">
        <v>65.681094250000001</v>
      </c>
      <c r="Y25" s="3"/>
    </row>
    <row r="26" spans="1:25" x14ac:dyDescent="0.3">
      <c r="A26" s="2" t="s">
        <v>60</v>
      </c>
      <c r="B26" s="2" t="s">
        <v>30</v>
      </c>
      <c r="C26" s="2" t="s">
        <v>31</v>
      </c>
      <c r="D26" s="2" t="s">
        <v>61</v>
      </c>
      <c r="E26" s="2">
        <v>1</v>
      </c>
      <c r="F26" s="2">
        <v>1</v>
      </c>
      <c r="G26" s="2">
        <v>2</v>
      </c>
      <c r="H26" s="2">
        <v>1</v>
      </c>
      <c r="I26" s="3">
        <v>61.38</v>
      </c>
      <c r="J26" s="3">
        <v>15.57</v>
      </c>
      <c r="K26" s="3">
        <v>25</v>
      </c>
      <c r="L26" s="3">
        <v>45</v>
      </c>
      <c r="M26" s="3">
        <v>13.95</v>
      </c>
      <c r="N26" s="3">
        <v>39.200000000000003</v>
      </c>
      <c r="O26" s="3">
        <v>81.13</v>
      </c>
      <c r="P26" s="3">
        <v>102.0821274</v>
      </c>
      <c r="Q26" s="3">
        <v>16.147708819999998</v>
      </c>
      <c r="R26" s="3">
        <v>41.09</v>
      </c>
      <c r="S26" s="3">
        <v>127.57146349999999</v>
      </c>
      <c r="T26" s="3">
        <v>22.041653749999998</v>
      </c>
      <c r="U26" s="3"/>
      <c r="V26" s="3">
        <v>9</v>
      </c>
      <c r="W26" s="3">
        <v>8.5625999999999998</v>
      </c>
      <c r="X26" s="3">
        <v>78.316078919999995</v>
      </c>
      <c r="Y26" s="3">
        <v>0.1278273509765788</v>
      </c>
    </row>
    <row r="27" spans="1:25" x14ac:dyDescent="0.3">
      <c r="A27" s="2" t="s">
        <v>62</v>
      </c>
      <c r="B27" s="2" t="s">
        <v>30</v>
      </c>
      <c r="C27" s="2" t="s">
        <v>31</v>
      </c>
      <c r="D27" s="2" t="s">
        <v>61</v>
      </c>
      <c r="E27" s="2">
        <v>1</v>
      </c>
      <c r="F27" s="2">
        <v>1</v>
      </c>
      <c r="G27" s="2">
        <v>2</v>
      </c>
      <c r="H27" s="2">
        <v>2</v>
      </c>
      <c r="I27" s="3">
        <v>43.2</v>
      </c>
      <c r="J27" s="3">
        <v>21.8</v>
      </c>
      <c r="K27" s="3">
        <v>26</v>
      </c>
      <c r="L27" s="3">
        <v>49</v>
      </c>
      <c r="M27" s="3">
        <v>16.78</v>
      </c>
      <c r="N27" s="3">
        <v>40.049999999999997</v>
      </c>
      <c r="O27" s="3">
        <v>76.95</v>
      </c>
      <c r="P27" s="3">
        <v>105.4511378</v>
      </c>
      <c r="Q27" s="3">
        <v>14.338228620000001</v>
      </c>
      <c r="R27" s="3">
        <v>42.87</v>
      </c>
      <c r="S27" s="3">
        <v>126.40095580000001</v>
      </c>
      <c r="T27" s="3">
        <v>22.98476887</v>
      </c>
      <c r="U27" s="3"/>
      <c r="V27" s="3">
        <v>9.5</v>
      </c>
      <c r="W27" s="3">
        <v>9.9160000000000004</v>
      </c>
      <c r="X27" s="3">
        <v>77.633322219999997</v>
      </c>
      <c r="Y27" s="3">
        <v>0.57742699923902974</v>
      </c>
    </row>
    <row r="28" spans="1:25" x14ac:dyDescent="0.3">
      <c r="A28" s="2" t="s">
        <v>63</v>
      </c>
      <c r="B28" s="2" t="s">
        <v>30</v>
      </c>
      <c r="C28" s="2" t="s">
        <v>31</v>
      </c>
      <c r="D28" s="2" t="s">
        <v>61</v>
      </c>
      <c r="E28" s="2">
        <v>1</v>
      </c>
      <c r="F28" s="2">
        <v>1</v>
      </c>
      <c r="G28" s="2">
        <v>2</v>
      </c>
      <c r="H28" s="2">
        <v>3</v>
      </c>
      <c r="I28" s="3">
        <v>41.8</v>
      </c>
      <c r="J28" s="3">
        <v>16.53</v>
      </c>
      <c r="K28" s="3">
        <v>26</v>
      </c>
      <c r="L28" s="3">
        <v>56</v>
      </c>
      <c r="M28" s="3">
        <v>16.350000000000001</v>
      </c>
      <c r="N28" s="3">
        <v>39.1</v>
      </c>
      <c r="O28" s="3">
        <v>78.39</v>
      </c>
      <c r="P28" s="3">
        <v>102.9823162</v>
      </c>
      <c r="Q28" s="3">
        <v>14.244100530000001</v>
      </c>
      <c r="R28" s="3">
        <v>40.06</v>
      </c>
      <c r="S28" s="3">
        <v>128.62377950000001</v>
      </c>
      <c r="T28" s="3">
        <v>22.54056344</v>
      </c>
      <c r="U28" s="3"/>
      <c r="V28" s="3">
        <v>7</v>
      </c>
      <c r="W28" s="3">
        <v>10.1974</v>
      </c>
      <c r="X28" s="3">
        <v>89.24332536</v>
      </c>
      <c r="Y28" s="3">
        <v>0.4113983709591047</v>
      </c>
    </row>
    <row r="29" spans="1:25" x14ac:dyDescent="0.3">
      <c r="A29" s="2" t="s">
        <v>64</v>
      </c>
      <c r="B29" s="2" t="s">
        <v>30</v>
      </c>
      <c r="C29" s="2" t="s">
        <v>31</v>
      </c>
      <c r="D29" s="2" t="s">
        <v>61</v>
      </c>
      <c r="E29" s="2">
        <v>1</v>
      </c>
      <c r="F29" s="2">
        <v>1</v>
      </c>
      <c r="G29" s="2">
        <v>2</v>
      </c>
      <c r="H29" s="2">
        <v>4</v>
      </c>
      <c r="I29" s="3">
        <v>50.01</v>
      </c>
      <c r="J29" s="3">
        <v>15.43</v>
      </c>
      <c r="K29" s="3">
        <v>25</v>
      </c>
      <c r="L29" s="3">
        <v>43</v>
      </c>
      <c r="M29" s="3">
        <v>10.59</v>
      </c>
      <c r="N29" s="3">
        <v>39.5</v>
      </c>
      <c r="O29" s="3">
        <v>74.63</v>
      </c>
      <c r="P29" s="3">
        <v>101.073741</v>
      </c>
      <c r="Q29" s="3">
        <v>16.191485419999999</v>
      </c>
      <c r="R29" s="3">
        <v>46.98</v>
      </c>
      <c r="S29" s="3">
        <v>123.66244</v>
      </c>
      <c r="T29" s="3">
        <v>29.063520090000001</v>
      </c>
      <c r="U29" s="3"/>
      <c r="V29" s="3">
        <v>10</v>
      </c>
      <c r="W29" s="3">
        <v>12.448600000000001</v>
      </c>
      <c r="X29" s="3">
        <v>78.233552009999997</v>
      </c>
      <c r="Y29" s="3">
        <v>3.5262717510780472E-2</v>
      </c>
    </row>
    <row r="30" spans="1:25" x14ac:dyDescent="0.3">
      <c r="A30" s="2" t="s">
        <v>65</v>
      </c>
      <c r="B30" s="2" t="s">
        <v>30</v>
      </c>
      <c r="C30" s="2" t="s">
        <v>31</v>
      </c>
      <c r="D30" s="2" t="s">
        <v>61</v>
      </c>
      <c r="E30" s="2">
        <v>1</v>
      </c>
      <c r="F30" s="2">
        <v>1</v>
      </c>
      <c r="G30" s="2">
        <v>2</v>
      </c>
      <c r="H30" s="2">
        <v>5</v>
      </c>
      <c r="I30" s="3">
        <v>44.66</v>
      </c>
      <c r="J30" s="3">
        <v>17.54</v>
      </c>
      <c r="K30" s="3">
        <v>24</v>
      </c>
      <c r="L30" s="3">
        <v>46</v>
      </c>
      <c r="M30" s="3">
        <v>13.3</v>
      </c>
      <c r="N30" s="3">
        <v>39.200000000000003</v>
      </c>
      <c r="O30" s="3">
        <v>73.930000000000007</v>
      </c>
      <c r="P30" s="3">
        <v>100.08363989999999</v>
      </c>
      <c r="Q30" s="3">
        <v>15.30644635</v>
      </c>
      <c r="R30" s="3">
        <v>41.66</v>
      </c>
      <c r="S30" s="3">
        <v>125.0390391</v>
      </c>
      <c r="T30" s="3">
        <v>25.795164280000002</v>
      </c>
      <c r="U30" s="3"/>
      <c r="V30" s="3">
        <v>7.5</v>
      </c>
      <c r="W30" s="3">
        <v>9.7283999999999988</v>
      </c>
      <c r="X30" s="3">
        <v>69.128668289999993</v>
      </c>
      <c r="Y30" s="3">
        <v>0.4966166049434908</v>
      </c>
    </row>
    <row r="31" spans="1:25" x14ac:dyDescent="0.3">
      <c r="A31" s="2" t="s">
        <v>66</v>
      </c>
      <c r="B31" s="2" t="s">
        <v>30</v>
      </c>
      <c r="C31" s="2" t="s">
        <v>31</v>
      </c>
      <c r="D31" s="2" t="s">
        <v>61</v>
      </c>
      <c r="E31" s="2">
        <v>1</v>
      </c>
      <c r="F31" s="2">
        <v>1</v>
      </c>
      <c r="G31" s="2">
        <v>2</v>
      </c>
      <c r="H31" s="2">
        <v>6</v>
      </c>
      <c r="I31" s="3">
        <v>44.85</v>
      </c>
      <c r="J31" s="3">
        <v>18.59</v>
      </c>
      <c r="K31" s="3">
        <v>25</v>
      </c>
      <c r="L31" s="3">
        <v>53</v>
      </c>
      <c r="M31" s="3">
        <v>10.050000000000001</v>
      </c>
      <c r="N31" s="3">
        <v>36.200000000000003</v>
      </c>
      <c r="O31" s="3">
        <v>78.599999999999994</v>
      </c>
      <c r="P31" s="3">
        <v>105.34165779999999</v>
      </c>
      <c r="Q31" s="3">
        <v>14.475859209999999</v>
      </c>
      <c r="R31" s="3">
        <v>44.68</v>
      </c>
      <c r="S31" s="3">
        <v>129.3591481</v>
      </c>
      <c r="T31" s="3">
        <v>20.719555979999999</v>
      </c>
      <c r="U31" s="3"/>
      <c r="V31" s="3">
        <v>10</v>
      </c>
      <c r="W31" s="3">
        <v>11.6044</v>
      </c>
      <c r="X31" s="3">
        <v>71.625056650000005</v>
      </c>
      <c r="Y31" s="3"/>
    </row>
    <row r="32" spans="1:25" x14ac:dyDescent="0.3">
      <c r="A32" s="2" t="s">
        <v>67</v>
      </c>
      <c r="B32" s="2" t="s">
        <v>30</v>
      </c>
      <c r="C32" s="2" t="s">
        <v>31</v>
      </c>
      <c r="D32" s="2" t="s">
        <v>32</v>
      </c>
      <c r="E32" s="2">
        <v>1</v>
      </c>
      <c r="F32" s="2">
        <v>2</v>
      </c>
      <c r="G32" s="2">
        <v>6</v>
      </c>
      <c r="H32" s="2">
        <v>1</v>
      </c>
      <c r="I32" s="3">
        <v>43.89</v>
      </c>
      <c r="J32" s="3">
        <v>14.27</v>
      </c>
      <c r="K32" s="3">
        <v>24</v>
      </c>
      <c r="L32" s="3">
        <v>47</v>
      </c>
      <c r="M32" s="3">
        <v>15.5</v>
      </c>
      <c r="N32" s="3">
        <v>40.6</v>
      </c>
      <c r="O32" s="3">
        <v>66.849999999999994</v>
      </c>
      <c r="P32" s="3">
        <v>111.770399</v>
      </c>
      <c r="Q32" s="3">
        <v>15.380370900000001</v>
      </c>
      <c r="R32" s="3">
        <v>50.06</v>
      </c>
      <c r="S32" s="3">
        <v>125.2572993</v>
      </c>
      <c r="T32" s="3">
        <v>26.158356220000002</v>
      </c>
      <c r="U32" s="3"/>
      <c r="V32" s="3">
        <v>8.5</v>
      </c>
      <c r="W32" s="3">
        <v>13.0382</v>
      </c>
      <c r="X32" s="3">
        <v>60.795845319999998</v>
      </c>
      <c r="Y32" s="3"/>
    </row>
    <row r="33" spans="1:25" x14ac:dyDescent="0.3">
      <c r="A33" s="2" t="s">
        <v>68</v>
      </c>
      <c r="B33" s="2" t="s">
        <v>30</v>
      </c>
      <c r="C33" s="2" t="s">
        <v>31</v>
      </c>
      <c r="D33" s="2" t="s">
        <v>32</v>
      </c>
      <c r="E33" s="2">
        <v>1</v>
      </c>
      <c r="F33" s="2">
        <v>2</v>
      </c>
      <c r="G33" s="2">
        <v>6</v>
      </c>
      <c r="H33" s="2">
        <v>2</v>
      </c>
      <c r="I33" s="3">
        <v>37.72</v>
      </c>
      <c r="J33" s="3">
        <v>18.13</v>
      </c>
      <c r="K33" s="3">
        <v>23</v>
      </c>
      <c r="L33" s="3">
        <v>55</v>
      </c>
      <c r="M33" s="3">
        <v>9.77</v>
      </c>
      <c r="N33" s="3">
        <v>47.6</v>
      </c>
      <c r="O33" s="3">
        <v>67.599999999999994</v>
      </c>
      <c r="P33" s="3">
        <v>96.161888770000004</v>
      </c>
      <c r="Q33" s="3">
        <v>15.278275430000001</v>
      </c>
      <c r="R33" s="3">
        <v>43.2</v>
      </c>
      <c r="S33" s="3">
        <v>126.93155179999999</v>
      </c>
      <c r="T33" s="3">
        <v>25.896015139999999</v>
      </c>
      <c r="U33" s="3"/>
      <c r="V33" s="3">
        <v>8</v>
      </c>
      <c r="W33" s="3">
        <v>12.8506</v>
      </c>
      <c r="X33" s="3">
        <v>64.783332029999997</v>
      </c>
      <c r="Y33" s="3"/>
    </row>
    <row r="34" spans="1:25" x14ac:dyDescent="0.3">
      <c r="A34" s="2" t="s">
        <v>69</v>
      </c>
      <c r="B34" s="2" t="s">
        <v>30</v>
      </c>
      <c r="C34" s="2" t="s">
        <v>31</v>
      </c>
      <c r="D34" s="2" t="s">
        <v>32</v>
      </c>
      <c r="E34" s="2">
        <v>1</v>
      </c>
      <c r="F34" s="2">
        <v>2</v>
      </c>
      <c r="G34" s="2">
        <v>6</v>
      </c>
      <c r="H34" s="2">
        <v>3</v>
      </c>
      <c r="I34" s="3">
        <v>39.979999999999997</v>
      </c>
      <c r="J34" s="3">
        <v>17.3</v>
      </c>
      <c r="K34" s="3">
        <v>24</v>
      </c>
      <c r="L34" s="3">
        <v>62</v>
      </c>
      <c r="M34" s="3">
        <v>10.97</v>
      </c>
      <c r="N34" s="3">
        <v>42.2</v>
      </c>
      <c r="O34" s="3">
        <v>73.790000000000006</v>
      </c>
      <c r="P34" s="3">
        <v>100.527551</v>
      </c>
      <c r="Q34" s="3">
        <v>18.389562260000002</v>
      </c>
      <c r="R34" s="3">
        <v>45.78</v>
      </c>
      <c r="S34" s="3">
        <v>120.9792424</v>
      </c>
      <c r="T34" s="3">
        <v>24.925605310000002</v>
      </c>
      <c r="U34" s="3"/>
      <c r="V34" s="3">
        <v>10.5</v>
      </c>
      <c r="W34" s="3">
        <v>14.9008</v>
      </c>
      <c r="X34" s="3">
        <v>68.376655690000007</v>
      </c>
      <c r="Y34" s="3"/>
    </row>
    <row r="35" spans="1:25" x14ac:dyDescent="0.3">
      <c r="A35" s="2" t="s">
        <v>70</v>
      </c>
      <c r="B35" s="2" t="s">
        <v>30</v>
      </c>
      <c r="C35" s="2" t="s">
        <v>31</v>
      </c>
      <c r="D35" s="2" t="s">
        <v>32</v>
      </c>
      <c r="E35" s="2">
        <v>1</v>
      </c>
      <c r="F35" s="2">
        <v>2</v>
      </c>
      <c r="G35" s="2">
        <v>6</v>
      </c>
      <c r="H35" s="2">
        <v>4</v>
      </c>
      <c r="I35" s="3">
        <v>33.64</v>
      </c>
      <c r="J35" s="3">
        <v>21.39</v>
      </c>
      <c r="K35" s="3">
        <v>24</v>
      </c>
      <c r="L35" s="3">
        <v>52</v>
      </c>
      <c r="M35" s="3">
        <v>8.36</v>
      </c>
      <c r="N35" s="3">
        <v>43.4</v>
      </c>
      <c r="O35" s="3">
        <v>68.790000000000006</v>
      </c>
      <c r="P35" s="3">
        <v>105.4376597</v>
      </c>
      <c r="Q35" s="3">
        <v>18.096445760000002</v>
      </c>
      <c r="R35" s="3">
        <v>52.97</v>
      </c>
      <c r="S35" s="3">
        <v>121.6729593</v>
      </c>
      <c r="T35" s="3">
        <v>27.976994120000001</v>
      </c>
      <c r="U35" s="3"/>
      <c r="V35" s="3">
        <v>9.5</v>
      </c>
      <c r="W35" s="3">
        <v>13.333</v>
      </c>
      <c r="X35" s="3">
        <v>67.364196849999999</v>
      </c>
      <c r="Y35" s="3"/>
    </row>
    <row r="36" spans="1:25" x14ac:dyDescent="0.3">
      <c r="A36" s="2" t="s">
        <v>71</v>
      </c>
      <c r="B36" s="2" t="s">
        <v>30</v>
      </c>
      <c r="C36" s="2" t="s">
        <v>31</v>
      </c>
      <c r="D36" s="2" t="s">
        <v>32</v>
      </c>
      <c r="E36" s="2">
        <v>1</v>
      </c>
      <c r="F36" s="2">
        <v>2</v>
      </c>
      <c r="G36" s="2">
        <v>6</v>
      </c>
      <c r="H36" s="2">
        <v>5</v>
      </c>
      <c r="I36" s="3">
        <v>30.91</v>
      </c>
      <c r="J36" s="3">
        <v>17.010000000000002</v>
      </c>
      <c r="K36" s="3">
        <v>23</v>
      </c>
      <c r="L36" s="3">
        <v>54</v>
      </c>
      <c r="M36" s="3">
        <v>9.32</v>
      </c>
      <c r="N36" s="3">
        <v>48.6</v>
      </c>
      <c r="O36" s="3">
        <v>70</v>
      </c>
      <c r="P36" s="3">
        <v>105.1252446</v>
      </c>
      <c r="Q36" s="3">
        <v>18.07917655</v>
      </c>
      <c r="R36" s="3">
        <v>46.48</v>
      </c>
      <c r="S36" s="3">
        <v>129.31336329999999</v>
      </c>
      <c r="T36" s="3">
        <v>23.265158499999998</v>
      </c>
      <c r="U36" s="3"/>
      <c r="V36" s="3">
        <v>9</v>
      </c>
      <c r="W36" s="3">
        <v>16.696400000000001</v>
      </c>
      <c r="X36" s="3">
        <v>55.252372360000003</v>
      </c>
      <c r="Y36" s="3"/>
    </row>
    <row r="37" spans="1:25" x14ac:dyDescent="0.3">
      <c r="A37" s="2" t="s">
        <v>72</v>
      </c>
      <c r="B37" s="2" t="s">
        <v>30</v>
      </c>
      <c r="C37" s="2" t="s">
        <v>39</v>
      </c>
      <c r="D37" s="2" t="s">
        <v>40</v>
      </c>
      <c r="E37" s="2">
        <v>1</v>
      </c>
      <c r="F37" s="2">
        <v>2</v>
      </c>
      <c r="G37" s="2">
        <v>6</v>
      </c>
      <c r="H37" s="2">
        <v>1</v>
      </c>
      <c r="I37" s="3">
        <v>52.79</v>
      </c>
      <c r="J37" s="3">
        <v>19</v>
      </c>
      <c r="K37" s="3">
        <v>24</v>
      </c>
      <c r="L37" s="3">
        <v>55</v>
      </c>
      <c r="M37" s="3">
        <v>14.93</v>
      </c>
      <c r="N37" s="3">
        <v>47.7</v>
      </c>
      <c r="O37" s="3">
        <v>71.06</v>
      </c>
      <c r="P37" s="3">
        <v>99.968122399999999</v>
      </c>
      <c r="Q37" s="3">
        <v>18.40232816</v>
      </c>
      <c r="R37" s="3">
        <v>39.35</v>
      </c>
      <c r="S37" s="3">
        <v>136.74124509999999</v>
      </c>
      <c r="T37" s="3">
        <v>20.94003343</v>
      </c>
      <c r="U37" s="3"/>
      <c r="V37" s="3">
        <v>8.5</v>
      </c>
      <c r="W37" s="3">
        <v>16.616</v>
      </c>
      <c r="X37" s="3">
        <v>38.835386409999998</v>
      </c>
      <c r="Y37" s="3"/>
    </row>
    <row r="38" spans="1:25" x14ac:dyDescent="0.3">
      <c r="A38" s="2" t="s">
        <v>73</v>
      </c>
      <c r="B38" s="2" t="s">
        <v>30</v>
      </c>
      <c r="C38" s="2" t="s">
        <v>39</v>
      </c>
      <c r="D38" s="2" t="s">
        <v>40</v>
      </c>
      <c r="E38" s="2">
        <v>1</v>
      </c>
      <c r="F38" s="2">
        <v>2</v>
      </c>
      <c r="G38" s="2">
        <v>6</v>
      </c>
      <c r="H38" s="2">
        <v>2</v>
      </c>
      <c r="I38" s="3">
        <v>53.62</v>
      </c>
      <c r="J38" s="3">
        <v>17</v>
      </c>
      <c r="K38" s="3">
        <v>25</v>
      </c>
      <c r="L38" s="3">
        <v>58</v>
      </c>
      <c r="M38" s="3">
        <v>16.37</v>
      </c>
      <c r="N38" s="3">
        <v>58.7</v>
      </c>
      <c r="O38" s="3">
        <v>66.040000000000006</v>
      </c>
      <c r="P38" s="3">
        <v>109.87591879999999</v>
      </c>
      <c r="Q38" s="3">
        <v>17.853543070000001</v>
      </c>
      <c r="R38" s="3">
        <v>40.72</v>
      </c>
      <c r="S38" s="3">
        <v>123.957463</v>
      </c>
      <c r="T38" s="3">
        <v>29.682331439999999</v>
      </c>
      <c r="U38" s="3"/>
      <c r="V38" s="3">
        <v>8.5</v>
      </c>
      <c r="W38" s="3">
        <v>13.5206</v>
      </c>
      <c r="X38" s="3">
        <v>41.541528079999999</v>
      </c>
      <c r="Y38" s="3"/>
    </row>
    <row r="39" spans="1:25" x14ac:dyDescent="0.3">
      <c r="A39" s="2" t="s">
        <v>74</v>
      </c>
      <c r="B39" s="2" t="s">
        <v>30</v>
      </c>
      <c r="C39" s="2" t="s">
        <v>39</v>
      </c>
      <c r="D39" s="2" t="s">
        <v>40</v>
      </c>
      <c r="E39" s="2">
        <v>1</v>
      </c>
      <c r="F39" s="2">
        <v>2</v>
      </c>
      <c r="G39" s="2">
        <v>6</v>
      </c>
      <c r="H39" s="2">
        <v>3</v>
      </c>
      <c r="I39" s="3">
        <v>56.61</v>
      </c>
      <c r="J39" s="3">
        <v>18</v>
      </c>
      <c r="K39" s="3">
        <v>24</v>
      </c>
      <c r="L39" s="3">
        <v>53</v>
      </c>
      <c r="M39" s="3">
        <v>16.43</v>
      </c>
      <c r="N39" s="3">
        <v>58.9</v>
      </c>
      <c r="O39" s="3">
        <v>68.59</v>
      </c>
      <c r="P39" s="3">
        <v>104.556933</v>
      </c>
      <c r="Q39" s="3">
        <v>16.27238766</v>
      </c>
      <c r="R39" s="3">
        <v>45.25</v>
      </c>
      <c r="S39" s="3">
        <v>119.56577160000001</v>
      </c>
      <c r="T39" s="3">
        <v>18.280328220000001</v>
      </c>
      <c r="U39" s="3"/>
      <c r="V39" s="3">
        <v>9.5</v>
      </c>
      <c r="W39" s="3">
        <v>12.997999999999999</v>
      </c>
      <c r="X39" s="3">
        <v>41.741174719999997</v>
      </c>
      <c r="Y39" s="3"/>
    </row>
    <row r="40" spans="1:25" x14ac:dyDescent="0.3">
      <c r="A40" s="2" t="s">
        <v>75</v>
      </c>
      <c r="B40" s="2" t="s">
        <v>30</v>
      </c>
      <c r="C40" s="2" t="s">
        <v>39</v>
      </c>
      <c r="D40" s="2" t="s">
        <v>40</v>
      </c>
      <c r="E40" s="2">
        <v>1</v>
      </c>
      <c r="F40" s="2">
        <v>2</v>
      </c>
      <c r="G40" s="2">
        <v>6</v>
      </c>
      <c r="H40" s="2">
        <v>4</v>
      </c>
      <c r="I40" s="3">
        <v>55.88</v>
      </c>
      <c r="J40" s="3">
        <v>19</v>
      </c>
      <c r="K40" s="3">
        <v>23</v>
      </c>
      <c r="L40" s="3">
        <v>46</v>
      </c>
      <c r="M40" s="3">
        <v>16.66</v>
      </c>
      <c r="N40" s="3">
        <v>59</v>
      </c>
      <c r="O40" s="3">
        <v>67.489999999999995</v>
      </c>
      <c r="P40" s="3">
        <v>97.624235119999994</v>
      </c>
      <c r="Q40" s="3">
        <v>16.50592924</v>
      </c>
      <c r="R40" s="3">
        <v>43.85</v>
      </c>
      <c r="S40" s="3">
        <v>130.35782620000001</v>
      </c>
      <c r="T40" s="3">
        <v>20.445879779999999</v>
      </c>
      <c r="U40" s="3"/>
      <c r="V40" s="3">
        <v>9.5</v>
      </c>
      <c r="W40" s="3">
        <v>13.467000000000001</v>
      </c>
      <c r="X40" s="3">
        <v>36.189230190000004</v>
      </c>
      <c r="Y40" s="3"/>
    </row>
    <row r="41" spans="1:25" x14ac:dyDescent="0.3">
      <c r="A41" s="2" t="s">
        <v>76</v>
      </c>
      <c r="B41" s="2" t="s">
        <v>30</v>
      </c>
      <c r="C41" s="2" t="s">
        <v>39</v>
      </c>
      <c r="D41" s="2" t="s">
        <v>40</v>
      </c>
      <c r="E41" s="2">
        <v>1</v>
      </c>
      <c r="F41" s="2">
        <v>2</v>
      </c>
      <c r="G41" s="2">
        <v>6</v>
      </c>
      <c r="H41" s="2">
        <v>5</v>
      </c>
      <c r="I41" s="3">
        <v>52.4</v>
      </c>
      <c r="J41" s="3">
        <v>19.43</v>
      </c>
      <c r="K41" s="3">
        <v>25</v>
      </c>
      <c r="L41" s="3">
        <v>46</v>
      </c>
      <c r="M41" s="3">
        <v>17.670000000000002</v>
      </c>
      <c r="N41" s="3">
        <v>50.9</v>
      </c>
      <c r="O41" s="3">
        <v>75.819999999999993</v>
      </c>
      <c r="P41" s="3">
        <v>107.1914123</v>
      </c>
      <c r="Q41" s="3">
        <v>19.578601454000001</v>
      </c>
      <c r="R41" s="3">
        <v>42.7</v>
      </c>
      <c r="S41" s="3">
        <v>134.55090250000001</v>
      </c>
      <c r="T41" s="3">
        <v>16.249812309999999</v>
      </c>
      <c r="U41" s="3"/>
      <c r="V41" s="3">
        <v>9</v>
      </c>
      <c r="W41" s="3">
        <v>14.807</v>
      </c>
      <c r="X41" s="3">
        <v>38.756496640000002</v>
      </c>
      <c r="Y41" s="3"/>
    </row>
    <row r="42" spans="1:25" x14ac:dyDescent="0.3">
      <c r="A42" s="2" t="s">
        <v>77</v>
      </c>
      <c r="B42" s="2" t="s">
        <v>30</v>
      </c>
      <c r="C42" s="2" t="s">
        <v>39</v>
      </c>
      <c r="D42" s="2" t="s">
        <v>47</v>
      </c>
      <c r="E42" s="2">
        <v>1</v>
      </c>
      <c r="F42" s="2">
        <v>2</v>
      </c>
      <c r="G42" s="2">
        <v>6</v>
      </c>
      <c r="H42" s="2">
        <v>1</v>
      </c>
      <c r="I42" s="3">
        <v>61.09</v>
      </c>
      <c r="J42" s="3">
        <v>17.63</v>
      </c>
      <c r="K42" s="3">
        <v>22</v>
      </c>
      <c r="L42" s="3">
        <v>47</v>
      </c>
      <c r="M42" s="3">
        <v>8.0500000000000007</v>
      </c>
      <c r="N42" s="3">
        <v>34.299999999999997</v>
      </c>
      <c r="O42" s="3">
        <v>79.25</v>
      </c>
      <c r="P42" s="3">
        <v>98.736153380000005</v>
      </c>
      <c r="Q42" s="3">
        <v>13.3650664</v>
      </c>
      <c r="R42" s="3">
        <v>53.38</v>
      </c>
      <c r="S42" s="3">
        <v>129.02390729999999</v>
      </c>
      <c r="T42" s="3">
        <v>28.730306299999999</v>
      </c>
      <c r="U42" s="3"/>
      <c r="V42" s="3">
        <v>9.5</v>
      </c>
      <c r="W42" s="3">
        <v>13.5608</v>
      </c>
      <c r="X42" s="3">
        <v>53.06849673</v>
      </c>
      <c r="Y42" s="3"/>
    </row>
    <row r="43" spans="1:25" x14ac:dyDescent="0.3">
      <c r="A43" s="2" t="s">
        <v>78</v>
      </c>
      <c r="B43" s="2" t="s">
        <v>30</v>
      </c>
      <c r="C43" s="2" t="s">
        <v>39</v>
      </c>
      <c r="D43" s="2" t="s">
        <v>47</v>
      </c>
      <c r="E43" s="2">
        <v>1</v>
      </c>
      <c r="F43" s="2">
        <v>2</v>
      </c>
      <c r="G43" s="2">
        <v>6</v>
      </c>
      <c r="H43" s="2">
        <v>2</v>
      </c>
      <c r="I43" s="3">
        <v>55.48</v>
      </c>
      <c r="J43" s="3">
        <v>20.8</v>
      </c>
      <c r="K43" s="3">
        <v>24</v>
      </c>
      <c r="L43" s="3">
        <v>49</v>
      </c>
      <c r="M43" s="3">
        <v>16.829999999999998</v>
      </c>
      <c r="N43" s="3">
        <v>35.9</v>
      </c>
      <c r="O43" s="3">
        <v>73.650000000000006</v>
      </c>
      <c r="P43" s="3">
        <v>106.7223022</v>
      </c>
      <c r="Q43" s="3">
        <v>19.418306642000001</v>
      </c>
      <c r="R43" s="3">
        <v>49.99</v>
      </c>
      <c r="S43" s="3">
        <v>121.6010675</v>
      </c>
      <c r="T43" s="3">
        <v>30.514917659999998</v>
      </c>
      <c r="U43" s="3"/>
      <c r="V43" s="3">
        <v>8</v>
      </c>
      <c r="W43" s="3">
        <v>8.4152000000000005</v>
      </c>
      <c r="X43" s="3">
        <v>73.392661860000004</v>
      </c>
      <c r="Y43" s="3"/>
    </row>
    <row r="44" spans="1:25" x14ac:dyDescent="0.3">
      <c r="A44" s="2" t="s">
        <v>79</v>
      </c>
      <c r="B44" s="2" t="s">
        <v>30</v>
      </c>
      <c r="C44" s="2" t="s">
        <v>39</v>
      </c>
      <c r="D44" s="2" t="s">
        <v>47</v>
      </c>
      <c r="E44" s="2">
        <v>1</v>
      </c>
      <c r="F44" s="2">
        <v>2</v>
      </c>
      <c r="G44" s="2">
        <v>6</v>
      </c>
      <c r="H44" s="2">
        <v>3</v>
      </c>
      <c r="I44" s="3">
        <v>63.35</v>
      </c>
      <c r="J44" s="3">
        <v>21.12</v>
      </c>
      <c r="K44" s="3">
        <v>22</v>
      </c>
      <c r="L44" s="3">
        <v>45</v>
      </c>
      <c r="M44" s="3">
        <v>14.78</v>
      </c>
      <c r="N44" s="3">
        <v>30.2</v>
      </c>
      <c r="O44" s="3">
        <v>74.42</v>
      </c>
      <c r="P44" s="3">
        <v>101.1275299</v>
      </c>
      <c r="Q44" s="3">
        <v>12.9535362</v>
      </c>
      <c r="R44" s="3">
        <v>51.38</v>
      </c>
      <c r="S44" s="3">
        <v>118.44841340000001</v>
      </c>
      <c r="T44" s="3">
        <v>32.789530339999999</v>
      </c>
      <c r="U44" s="3"/>
      <c r="V44" s="3">
        <v>8.5</v>
      </c>
      <c r="W44" s="3">
        <v>10.250999999999999</v>
      </c>
      <c r="X44" s="3">
        <v>81.054993049999993</v>
      </c>
      <c r="Y44" s="3"/>
    </row>
    <row r="45" spans="1:25" x14ac:dyDescent="0.3">
      <c r="A45" s="2" t="s">
        <v>80</v>
      </c>
      <c r="B45" s="2" t="s">
        <v>30</v>
      </c>
      <c r="C45" s="2" t="s">
        <v>39</v>
      </c>
      <c r="D45" s="2" t="s">
        <v>47</v>
      </c>
      <c r="E45" s="2">
        <v>1</v>
      </c>
      <c r="F45" s="2">
        <v>2</v>
      </c>
      <c r="G45" s="2">
        <v>6</v>
      </c>
      <c r="H45" s="2">
        <v>4</v>
      </c>
      <c r="I45" s="3">
        <v>62.55</v>
      </c>
      <c r="J45" s="3">
        <v>18.12</v>
      </c>
      <c r="K45" s="3">
        <v>26</v>
      </c>
      <c r="L45" s="3">
        <v>56</v>
      </c>
      <c r="M45" s="3">
        <v>13.29</v>
      </c>
      <c r="N45" s="3">
        <v>37.9</v>
      </c>
      <c r="O45" s="3">
        <v>76</v>
      </c>
      <c r="P45" s="3">
        <v>105.0461462</v>
      </c>
      <c r="Q45" s="3">
        <v>18.667144859</v>
      </c>
      <c r="R45" s="3">
        <v>46.88</v>
      </c>
      <c r="S45" s="3">
        <v>123.7125984</v>
      </c>
      <c r="T45" s="3">
        <v>27.854272559999998</v>
      </c>
      <c r="U45" s="3"/>
      <c r="V45" s="3">
        <v>6</v>
      </c>
      <c r="W45" s="3">
        <v>9.6747999999999994</v>
      </c>
      <c r="X45" s="3">
        <v>51.460902160000003</v>
      </c>
      <c r="Y45" s="3"/>
    </row>
    <row r="46" spans="1:25" x14ac:dyDescent="0.3">
      <c r="A46" s="2" t="s">
        <v>81</v>
      </c>
      <c r="B46" s="2" t="s">
        <v>30</v>
      </c>
      <c r="C46" s="2" t="s">
        <v>39</v>
      </c>
      <c r="D46" s="2" t="s">
        <v>47</v>
      </c>
      <c r="E46" s="2">
        <v>1</v>
      </c>
      <c r="F46" s="2">
        <v>2</v>
      </c>
      <c r="G46" s="2">
        <v>6</v>
      </c>
      <c r="H46" s="2">
        <v>5</v>
      </c>
      <c r="I46" s="3">
        <v>48.7</v>
      </c>
      <c r="J46" s="3">
        <v>20.97</v>
      </c>
      <c r="K46" s="3">
        <v>24</v>
      </c>
      <c r="L46" s="3">
        <v>57</v>
      </c>
      <c r="M46" s="3">
        <v>10.46</v>
      </c>
      <c r="N46" s="3">
        <v>38.799999999999997</v>
      </c>
      <c r="O46" s="3">
        <v>72.39</v>
      </c>
      <c r="P46" s="3">
        <v>108.3495606</v>
      </c>
      <c r="Q46" s="3">
        <v>18.512860859</v>
      </c>
      <c r="R46" s="3">
        <v>47.32</v>
      </c>
      <c r="S46" s="3">
        <v>127.3503864</v>
      </c>
      <c r="T46" s="3">
        <v>26.93294822</v>
      </c>
      <c r="U46" s="3"/>
      <c r="V46" s="3">
        <v>9.5</v>
      </c>
      <c r="W46" s="3">
        <v>10.72</v>
      </c>
      <c r="X46" s="3">
        <v>58.778204539999997</v>
      </c>
      <c r="Y46" s="3"/>
    </row>
    <row r="47" spans="1:25" x14ac:dyDescent="0.3">
      <c r="A47" s="2" t="s">
        <v>82</v>
      </c>
      <c r="B47" s="2" t="s">
        <v>30</v>
      </c>
      <c r="C47" s="2" t="s">
        <v>31</v>
      </c>
      <c r="D47" s="2" t="s">
        <v>54</v>
      </c>
      <c r="E47" s="2">
        <v>1</v>
      </c>
      <c r="F47" s="2">
        <v>2</v>
      </c>
      <c r="G47" s="2">
        <v>6</v>
      </c>
      <c r="H47" s="2">
        <v>1</v>
      </c>
      <c r="I47" s="3">
        <v>56.29</v>
      </c>
      <c r="J47" s="3">
        <v>16.71</v>
      </c>
      <c r="K47" s="3">
        <v>22</v>
      </c>
      <c r="L47" s="3">
        <v>56</v>
      </c>
      <c r="M47" s="3">
        <v>14.03</v>
      </c>
      <c r="N47" s="3">
        <v>45.6</v>
      </c>
      <c r="O47" s="3">
        <v>75.42</v>
      </c>
      <c r="P47" s="3">
        <v>74.012906330000007</v>
      </c>
      <c r="Q47" s="3">
        <v>18</v>
      </c>
      <c r="R47" s="3">
        <v>39.89</v>
      </c>
      <c r="S47" s="3">
        <v>124.6390461</v>
      </c>
      <c r="T47" s="3">
        <v>26.618168610000001</v>
      </c>
      <c r="U47" s="3"/>
      <c r="V47" s="3">
        <v>7.5</v>
      </c>
      <c r="W47" s="3">
        <v>10.880800000000001</v>
      </c>
      <c r="X47" s="3">
        <v>75.573682360000006</v>
      </c>
      <c r="Y47" s="3"/>
    </row>
    <row r="48" spans="1:25" x14ac:dyDescent="0.3">
      <c r="A48" s="2" t="s">
        <v>83</v>
      </c>
      <c r="B48" s="2" t="s">
        <v>30</v>
      </c>
      <c r="C48" s="2" t="s">
        <v>31</v>
      </c>
      <c r="D48" s="2" t="s">
        <v>54</v>
      </c>
      <c r="E48" s="2">
        <v>1</v>
      </c>
      <c r="F48" s="2">
        <v>2</v>
      </c>
      <c r="G48" s="2">
        <v>6</v>
      </c>
      <c r="H48" s="2">
        <v>2</v>
      </c>
      <c r="I48" s="3">
        <v>61.64</v>
      </c>
      <c r="J48" s="3">
        <v>17.010000000000002</v>
      </c>
      <c r="K48" s="3">
        <v>21</v>
      </c>
      <c r="L48" s="3">
        <v>57</v>
      </c>
      <c r="M48" s="3">
        <v>13.95</v>
      </c>
      <c r="N48" s="3">
        <v>40.299999999999997</v>
      </c>
      <c r="O48" s="3">
        <v>66.58</v>
      </c>
      <c r="P48" s="3">
        <v>78.264490559999999</v>
      </c>
      <c r="Q48" s="3">
        <v>16</v>
      </c>
      <c r="R48" s="3">
        <v>43.27</v>
      </c>
      <c r="S48" s="3">
        <v>125.7926415</v>
      </c>
      <c r="T48" s="3">
        <v>30.007300780000001</v>
      </c>
      <c r="U48" s="3"/>
      <c r="V48" s="3">
        <v>6.5</v>
      </c>
      <c r="W48" s="3">
        <v>9.5408000000000008</v>
      </c>
      <c r="X48" s="3">
        <v>62.196733420000001</v>
      </c>
      <c r="Y48" s="3"/>
    </row>
    <row r="49" spans="1:25" x14ac:dyDescent="0.3">
      <c r="A49" s="2" t="s">
        <v>84</v>
      </c>
      <c r="B49" s="2" t="s">
        <v>30</v>
      </c>
      <c r="C49" s="2" t="s">
        <v>31</v>
      </c>
      <c r="D49" s="2" t="s">
        <v>54</v>
      </c>
      <c r="E49" s="2">
        <v>1</v>
      </c>
      <c r="F49" s="2">
        <v>2</v>
      </c>
      <c r="G49" s="2">
        <v>6</v>
      </c>
      <c r="H49" s="2">
        <v>3</v>
      </c>
      <c r="I49" s="3">
        <v>51.29</v>
      </c>
      <c r="J49" s="3">
        <v>15.49</v>
      </c>
      <c r="K49" s="3">
        <v>23</v>
      </c>
      <c r="L49" s="3">
        <v>60</v>
      </c>
      <c r="M49" s="3">
        <v>14.03</v>
      </c>
      <c r="N49" s="3">
        <v>39.700000000000003</v>
      </c>
      <c r="O49" s="3">
        <v>71</v>
      </c>
      <c r="P49" s="3">
        <v>78.179240660000005</v>
      </c>
      <c r="Q49" s="3">
        <v>14.3033178</v>
      </c>
      <c r="R49" s="3">
        <v>44.1</v>
      </c>
      <c r="S49" s="3">
        <v>124.0745253</v>
      </c>
      <c r="T49" s="3">
        <v>29.32488704</v>
      </c>
      <c r="U49" s="3"/>
      <c r="V49" s="3">
        <v>7</v>
      </c>
      <c r="W49" s="3">
        <v>10.438599999999999</v>
      </c>
      <c r="X49" s="3">
        <v>69.536918099999994</v>
      </c>
      <c r="Y49" s="3"/>
    </row>
    <row r="50" spans="1:25" x14ac:dyDescent="0.3">
      <c r="A50" s="2" t="s">
        <v>85</v>
      </c>
      <c r="B50" s="2" t="s">
        <v>30</v>
      </c>
      <c r="C50" s="2" t="s">
        <v>31</v>
      </c>
      <c r="D50" s="2" t="s">
        <v>54</v>
      </c>
      <c r="E50" s="2">
        <v>1</v>
      </c>
      <c r="F50" s="2">
        <v>2</v>
      </c>
      <c r="G50" s="2">
        <v>6</v>
      </c>
      <c r="H50" s="2">
        <v>4</v>
      </c>
      <c r="I50" s="3">
        <v>66.510000000000005</v>
      </c>
      <c r="J50" s="3">
        <v>15.58</v>
      </c>
      <c r="K50" s="3">
        <v>24</v>
      </c>
      <c r="L50" s="3">
        <v>58</v>
      </c>
      <c r="M50" s="3">
        <v>14.47</v>
      </c>
      <c r="N50" s="3">
        <v>38.1</v>
      </c>
      <c r="O50" s="3">
        <v>66.260000000000005</v>
      </c>
      <c r="P50" s="3">
        <v>80.194310290000004</v>
      </c>
      <c r="Q50" s="3">
        <v>15</v>
      </c>
      <c r="R50" s="3">
        <v>45.22</v>
      </c>
      <c r="S50" s="3">
        <v>125.5819577</v>
      </c>
      <c r="T50" s="3">
        <v>28.391169399999999</v>
      </c>
      <c r="U50" s="3"/>
      <c r="V50" s="3">
        <v>8.5</v>
      </c>
      <c r="W50" s="3">
        <v>11.6982</v>
      </c>
      <c r="X50" s="3">
        <v>70.625148260000003</v>
      </c>
      <c r="Y50" s="3"/>
    </row>
    <row r="51" spans="1:25" x14ac:dyDescent="0.3">
      <c r="A51" s="2" t="s">
        <v>86</v>
      </c>
      <c r="B51" s="2" t="s">
        <v>30</v>
      </c>
      <c r="C51" s="2" t="s">
        <v>31</v>
      </c>
      <c r="D51" s="2" t="s">
        <v>54</v>
      </c>
      <c r="E51" s="2">
        <v>1</v>
      </c>
      <c r="F51" s="2">
        <v>2</v>
      </c>
      <c r="G51" s="2">
        <v>6</v>
      </c>
      <c r="H51" s="2">
        <v>5</v>
      </c>
      <c r="I51" s="3">
        <v>53.69</v>
      </c>
      <c r="J51" s="3">
        <v>14.38</v>
      </c>
      <c r="K51" s="3">
        <v>22</v>
      </c>
      <c r="L51" s="3">
        <v>59</v>
      </c>
      <c r="M51" s="3">
        <v>12.49</v>
      </c>
      <c r="N51" s="3">
        <v>39.200000000000003</v>
      </c>
      <c r="O51" s="3">
        <v>71.38</v>
      </c>
      <c r="P51" s="3">
        <v>69.0275228</v>
      </c>
      <c r="Q51" s="3">
        <v>17</v>
      </c>
      <c r="R51" s="3">
        <v>44</v>
      </c>
      <c r="S51" s="3">
        <v>124.0565344</v>
      </c>
      <c r="T51" s="3">
        <v>29.463504539999999</v>
      </c>
      <c r="U51" s="3"/>
      <c r="V51" s="3">
        <v>7.5</v>
      </c>
      <c r="W51" s="3">
        <v>10.947800000000001</v>
      </c>
      <c r="X51" s="3">
        <v>72.871890949999994</v>
      </c>
      <c r="Y51" s="3"/>
    </row>
    <row r="52" spans="1:25" x14ac:dyDescent="0.3">
      <c r="A52" s="2" t="s">
        <v>87</v>
      </c>
      <c r="B52" s="2" t="s">
        <v>30</v>
      </c>
      <c r="C52" s="2" t="s">
        <v>31</v>
      </c>
      <c r="D52" s="2" t="s">
        <v>61</v>
      </c>
      <c r="E52" s="2">
        <v>1</v>
      </c>
      <c r="F52" s="2">
        <v>2</v>
      </c>
      <c r="G52" s="2">
        <v>6</v>
      </c>
      <c r="H52" s="2">
        <v>1</v>
      </c>
      <c r="I52" s="3">
        <v>41.1</v>
      </c>
      <c r="J52" s="3">
        <v>17.03</v>
      </c>
      <c r="K52" s="3">
        <v>25</v>
      </c>
      <c r="L52" s="3">
        <v>51</v>
      </c>
      <c r="M52" s="3">
        <v>11.47</v>
      </c>
      <c r="N52" s="3">
        <v>36.200000000000003</v>
      </c>
      <c r="O52" s="3">
        <v>78.349999999999994</v>
      </c>
      <c r="P52" s="3">
        <v>101.08385269999999</v>
      </c>
      <c r="Q52" s="3">
        <v>11.443465379999999</v>
      </c>
      <c r="R52" s="3">
        <v>42.56</v>
      </c>
      <c r="S52" s="3">
        <v>126.22925530000001</v>
      </c>
      <c r="T52" s="3">
        <v>29.169821729999999</v>
      </c>
      <c r="U52" s="3"/>
      <c r="V52" s="3">
        <v>8</v>
      </c>
      <c r="W52" s="3">
        <v>8.3214000000000006</v>
      </c>
      <c r="X52" s="3">
        <v>62.354503719999997</v>
      </c>
      <c r="Y52" s="3"/>
    </row>
    <row r="53" spans="1:25" x14ac:dyDescent="0.3">
      <c r="A53" s="2" t="s">
        <v>88</v>
      </c>
      <c r="B53" s="2" t="s">
        <v>30</v>
      </c>
      <c r="C53" s="2" t="s">
        <v>31</v>
      </c>
      <c r="D53" s="2" t="s">
        <v>61</v>
      </c>
      <c r="E53" s="2">
        <v>1</v>
      </c>
      <c r="F53" s="2">
        <v>2</v>
      </c>
      <c r="G53" s="2">
        <v>6</v>
      </c>
      <c r="H53" s="2">
        <v>2</v>
      </c>
      <c r="I53" s="3">
        <v>46.2</v>
      </c>
      <c r="J53" s="3">
        <v>17.41</v>
      </c>
      <c r="K53" s="3">
        <v>24</v>
      </c>
      <c r="L53" s="3">
        <v>58</v>
      </c>
      <c r="M53" s="3">
        <v>8.4499999999999993</v>
      </c>
      <c r="N53" s="3">
        <v>37.5</v>
      </c>
      <c r="O53" s="3">
        <v>77.16</v>
      </c>
      <c r="P53" s="3">
        <v>100.2237573</v>
      </c>
      <c r="Q53" s="3">
        <v>15.21153838</v>
      </c>
      <c r="R53" s="3">
        <v>42.39</v>
      </c>
      <c r="S53" s="3">
        <v>121.0462892</v>
      </c>
      <c r="T53" s="3">
        <v>30.849197719999999</v>
      </c>
      <c r="U53" s="3"/>
      <c r="V53" s="3">
        <v>6</v>
      </c>
      <c r="W53" s="3">
        <v>10.988</v>
      </c>
      <c r="X53" s="3">
        <v>59.29021779</v>
      </c>
      <c r="Y53" s="3"/>
    </row>
    <row r="54" spans="1:25" x14ac:dyDescent="0.3">
      <c r="A54" s="2" t="s">
        <v>89</v>
      </c>
      <c r="B54" s="2" t="s">
        <v>30</v>
      </c>
      <c r="C54" s="2" t="s">
        <v>31</v>
      </c>
      <c r="D54" s="2" t="s">
        <v>61</v>
      </c>
      <c r="E54" s="2">
        <v>1</v>
      </c>
      <c r="F54" s="2">
        <v>2</v>
      </c>
      <c r="G54" s="2">
        <v>6</v>
      </c>
      <c r="H54" s="2">
        <v>3</v>
      </c>
      <c r="I54" s="3">
        <v>41.39</v>
      </c>
      <c r="J54" s="3">
        <v>19.48</v>
      </c>
      <c r="K54" s="3">
        <v>23</v>
      </c>
      <c r="L54" s="3">
        <v>57</v>
      </c>
      <c r="M54" s="3">
        <v>9.24</v>
      </c>
      <c r="N54" s="3">
        <v>36.299999999999997</v>
      </c>
      <c r="O54" s="3">
        <v>76.989999999999995</v>
      </c>
      <c r="P54" s="3">
        <v>105.1332803</v>
      </c>
      <c r="Q54" s="3">
        <v>15.704636259999999</v>
      </c>
      <c r="R54" s="3">
        <v>47.83</v>
      </c>
      <c r="S54" s="3">
        <v>124.86050729999999</v>
      </c>
      <c r="T54" s="3">
        <v>26.470272000000001</v>
      </c>
      <c r="U54" s="3"/>
      <c r="V54" s="3">
        <v>6.5</v>
      </c>
      <c r="W54" s="3">
        <v>9.2593999999999976</v>
      </c>
      <c r="X54" s="3">
        <v>65.558306209999998</v>
      </c>
      <c r="Y54" s="3"/>
    </row>
    <row r="55" spans="1:25" x14ac:dyDescent="0.3">
      <c r="A55" s="2" t="s">
        <v>90</v>
      </c>
      <c r="B55" s="2" t="s">
        <v>30</v>
      </c>
      <c r="C55" s="2" t="s">
        <v>31</v>
      </c>
      <c r="D55" s="2" t="s">
        <v>61</v>
      </c>
      <c r="E55" s="2">
        <v>1</v>
      </c>
      <c r="F55" s="2">
        <v>2</v>
      </c>
      <c r="G55" s="2">
        <v>6</v>
      </c>
      <c r="H55" s="2">
        <v>4</v>
      </c>
      <c r="I55" s="3">
        <v>38.01</v>
      </c>
      <c r="J55" s="3">
        <v>18.670000000000002</v>
      </c>
      <c r="K55" s="3">
        <v>23</v>
      </c>
      <c r="L55" s="3">
        <v>56</v>
      </c>
      <c r="M55" s="3">
        <v>11.49</v>
      </c>
      <c r="N55" s="3">
        <v>36.799999999999997</v>
      </c>
      <c r="O55" s="3">
        <v>72.97</v>
      </c>
      <c r="P55" s="3">
        <v>110.1785205</v>
      </c>
      <c r="Q55" s="3">
        <v>13.509182060000001</v>
      </c>
      <c r="R55" s="3">
        <v>45.88</v>
      </c>
      <c r="S55" s="3">
        <v>127.40631260000001</v>
      </c>
      <c r="T55" s="3">
        <v>21.350936749999999</v>
      </c>
      <c r="U55" s="3"/>
      <c r="V55" s="3">
        <v>8.5</v>
      </c>
      <c r="W55" s="3">
        <v>12.73</v>
      </c>
      <c r="X55" s="3">
        <v>58.745108629999997</v>
      </c>
      <c r="Y55" s="3"/>
    </row>
    <row r="56" spans="1:25" x14ac:dyDescent="0.3">
      <c r="A56" s="2" t="s">
        <v>91</v>
      </c>
      <c r="B56" s="2" t="s">
        <v>30</v>
      </c>
      <c r="C56" s="2" t="s">
        <v>31</v>
      </c>
      <c r="D56" s="2" t="s">
        <v>61</v>
      </c>
      <c r="E56" s="2">
        <v>1</v>
      </c>
      <c r="F56" s="2">
        <v>2</v>
      </c>
      <c r="G56" s="2">
        <v>6</v>
      </c>
      <c r="H56" s="2">
        <v>5</v>
      </c>
      <c r="I56" s="3">
        <v>37.1</v>
      </c>
      <c r="J56" s="3">
        <v>20.73</v>
      </c>
      <c r="K56" s="3">
        <v>24</v>
      </c>
      <c r="L56" s="3">
        <v>52</v>
      </c>
      <c r="M56" s="3">
        <v>15.45</v>
      </c>
      <c r="N56" s="3">
        <v>35.6</v>
      </c>
      <c r="O56" s="3">
        <v>72.87</v>
      </c>
      <c r="P56" s="3">
        <v>99.794358840000001</v>
      </c>
      <c r="Q56" s="3">
        <v>17.57619128</v>
      </c>
      <c r="R56" s="3">
        <v>42.35</v>
      </c>
      <c r="S56" s="3">
        <v>126.64866189999999</v>
      </c>
      <c r="T56" s="3">
        <v>25.41418895</v>
      </c>
      <c r="U56" s="3"/>
      <c r="V56" s="3">
        <v>9</v>
      </c>
      <c r="W56" s="3">
        <v>9.0885500000000032</v>
      </c>
      <c r="X56" s="3">
        <v>57.423554879999998</v>
      </c>
      <c r="Y56" s="3"/>
    </row>
    <row r="57" spans="1:25" x14ac:dyDescent="0.3">
      <c r="A57" s="2" t="s">
        <v>92</v>
      </c>
      <c r="B57" s="2" t="s">
        <v>30</v>
      </c>
      <c r="C57" s="2" t="s">
        <v>31</v>
      </c>
      <c r="D57" s="2" t="s">
        <v>32</v>
      </c>
      <c r="E57" s="2">
        <v>1</v>
      </c>
      <c r="F57" s="2">
        <v>3</v>
      </c>
      <c r="G57" s="2">
        <v>10</v>
      </c>
      <c r="H57" s="2">
        <v>1</v>
      </c>
      <c r="I57" s="3">
        <v>24.53</v>
      </c>
      <c r="J57" s="3">
        <v>16.41</v>
      </c>
      <c r="K57" s="3">
        <v>24</v>
      </c>
      <c r="L57" s="3">
        <v>52</v>
      </c>
      <c r="M57" s="3">
        <v>10.18</v>
      </c>
      <c r="N57" s="3">
        <v>32.444600000000001</v>
      </c>
      <c r="O57" s="3">
        <v>69.61</v>
      </c>
      <c r="P57" s="3">
        <v>101.4186835</v>
      </c>
      <c r="Q57" s="3"/>
      <c r="R57" s="3">
        <v>48.69</v>
      </c>
      <c r="S57" s="3">
        <v>126.3742414</v>
      </c>
      <c r="T57" s="3">
        <v>32.155201759999997</v>
      </c>
      <c r="U57" s="3"/>
      <c r="V57" s="3">
        <v>8</v>
      </c>
      <c r="W57" s="3">
        <v>19.590800000000002</v>
      </c>
      <c r="X57" s="3">
        <v>40.506396270000003</v>
      </c>
      <c r="Y57" s="3"/>
    </row>
    <row r="58" spans="1:25" x14ac:dyDescent="0.3">
      <c r="A58" s="2" t="s">
        <v>93</v>
      </c>
      <c r="B58" s="2" t="s">
        <v>30</v>
      </c>
      <c r="C58" s="2" t="s">
        <v>31</v>
      </c>
      <c r="D58" s="2" t="s">
        <v>32</v>
      </c>
      <c r="E58" s="2">
        <v>1</v>
      </c>
      <c r="F58" s="2">
        <v>3</v>
      </c>
      <c r="G58" s="2">
        <v>10</v>
      </c>
      <c r="H58" s="2">
        <v>2</v>
      </c>
      <c r="I58" s="3">
        <v>25.37</v>
      </c>
      <c r="J58" s="3">
        <v>16.2</v>
      </c>
      <c r="K58" s="3">
        <v>23</v>
      </c>
      <c r="L58" s="3">
        <v>47</v>
      </c>
      <c r="M58" s="3">
        <v>8.07</v>
      </c>
      <c r="N58" s="3">
        <v>27</v>
      </c>
      <c r="O58" s="3">
        <v>69.84</v>
      </c>
      <c r="P58" s="3">
        <v>104.0751834</v>
      </c>
      <c r="Q58" s="3">
        <v>19.185912030000001</v>
      </c>
      <c r="R58" s="3">
        <v>45.34</v>
      </c>
      <c r="S58" s="3">
        <v>122.4022781</v>
      </c>
      <c r="T58" s="3">
        <v>30.735377010000001</v>
      </c>
      <c r="U58" s="3"/>
      <c r="V58" s="3">
        <v>10</v>
      </c>
      <c r="W58" s="3">
        <v>18.5992</v>
      </c>
      <c r="X58" s="3">
        <v>39.14857696</v>
      </c>
      <c r="Y58" s="3"/>
    </row>
    <row r="59" spans="1:25" x14ac:dyDescent="0.3">
      <c r="A59" s="2" t="s">
        <v>94</v>
      </c>
      <c r="B59" s="2" t="s">
        <v>30</v>
      </c>
      <c r="C59" s="2" t="s">
        <v>31</v>
      </c>
      <c r="D59" s="2" t="s">
        <v>32</v>
      </c>
      <c r="E59" s="2">
        <v>1</v>
      </c>
      <c r="F59" s="2">
        <v>3</v>
      </c>
      <c r="G59" s="2">
        <v>10</v>
      </c>
      <c r="H59" s="2">
        <v>3</v>
      </c>
      <c r="I59" s="3">
        <v>33.01</v>
      </c>
      <c r="J59" s="3">
        <v>14.01</v>
      </c>
      <c r="K59" s="3">
        <v>24</v>
      </c>
      <c r="L59" s="3">
        <v>46</v>
      </c>
      <c r="M59" s="3">
        <v>7.91</v>
      </c>
      <c r="N59" s="3">
        <v>41.7</v>
      </c>
      <c r="O59" s="3">
        <v>68.5</v>
      </c>
      <c r="P59" s="3">
        <v>104.600471</v>
      </c>
      <c r="Q59" s="3">
        <v>18.555465940000001</v>
      </c>
      <c r="R59" s="3">
        <v>54.73</v>
      </c>
      <c r="S59" s="3">
        <v>119.6315365</v>
      </c>
      <c r="T59" s="3">
        <v>32.68445655</v>
      </c>
      <c r="U59" s="3"/>
      <c r="V59" s="3">
        <v>9</v>
      </c>
      <c r="W59" s="3">
        <v>19.068200000000001</v>
      </c>
      <c r="X59" s="3">
        <v>31.403314139999999</v>
      </c>
      <c r="Y59" s="3"/>
    </row>
    <row r="60" spans="1:25" x14ac:dyDescent="0.3">
      <c r="A60" s="2" t="s">
        <v>95</v>
      </c>
      <c r="B60" s="2" t="s">
        <v>30</v>
      </c>
      <c r="C60" s="2" t="s">
        <v>31</v>
      </c>
      <c r="D60" s="2" t="s">
        <v>32</v>
      </c>
      <c r="E60" s="2">
        <v>1</v>
      </c>
      <c r="F60" s="2">
        <v>3</v>
      </c>
      <c r="G60" s="2">
        <v>10</v>
      </c>
      <c r="H60" s="2">
        <v>4</v>
      </c>
      <c r="I60" s="3">
        <v>23.78</v>
      </c>
      <c r="J60" s="3">
        <v>14.6</v>
      </c>
      <c r="K60" s="3">
        <v>22</v>
      </c>
      <c r="L60" s="3">
        <v>45</v>
      </c>
      <c r="M60" s="3">
        <v>10.64</v>
      </c>
      <c r="N60" s="3">
        <v>44.7</v>
      </c>
      <c r="O60" s="3">
        <v>72.81</v>
      </c>
      <c r="P60" s="3">
        <v>104.2291537</v>
      </c>
      <c r="Q60" s="3">
        <v>20.669385500000001</v>
      </c>
      <c r="R60" s="3">
        <v>44.3</v>
      </c>
      <c r="S60" s="3">
        <v>124.21763350000001</v>
      </c>
      <c r="T60" s="3">
        <v>25.589406010000001</v>
      </c>
      <c r="U60" s="3"/>
      <c r="V60" s="3">
        <v>12</v>
      </c>
      <c r="W60" s="3">
        <v>22.24400000000001</v>
      </c>
      <c r="X60" s="3">
        <v>50.498321400000002</v>
      </c>
      <c r="Y60" s="3"/>
    </row>
    <row r="61" spans="1:25" x14ac:dyDescent="0.3">
      <c r="A61" s="2" t="s">
        <v>96</v>
      </c>
      <c r="B61" s="2" t="s">
        <v>30</v>
      </c>
      <c r="C61" s="2" t="s">
        <v>31</v>
      </c>
      <c r="D61" s="2" t="s">
        <v>32</v>
      </c>
      <c r="E61" s="2">
        <v>1</v>
      </c>
      <c r="F61" s="2">
        <v>3</v>
      </c>
      <c r="G61" s="2">
        <v>10</v>
      </c>
      <c r="H61" s="2">
        <v>5</v>
      </c>
      <c r="I61" s="3">
        <v>25.67</v>
      </c>
      <c r="J61" s="3">
        <v>17.739999999999998</v>
      </c>
      <c r="K61" s="3">
        <v>22</v>
      </c>
      <c r="L61" s="3">
        <v>51</v>
      </c>
      <c r="M61" s="3">
        <v>10.42</v>
      </c>
      <c r="N61" s="3">
        <v>39.700000000000003</v>
      </c>
      <c r="O61" s="3">
        <v>72.849999999999994</v>
      </c>
      <c r="P61" s="3">
        <v>100.3277741</v>
      </c>
      <c r="Q61" s="3">
        <v>18.275089449999999</v>
      </c>
      <c r="R61" s="3">
        <v>49.44</v>
      </c>
      <c r="S61" s="3">
        <v>125.8903201</v>
      </c>
      <c r="T61" s="3">
        <v>26.7979141</v>
      </c>
      <c r="U61" s="3"/>
      <c r="V61" s="3">
        <v>10</v>
      </c>
      <c r="W61" s="3">
        <v>20.126799999999999</v>
      </c>
      <c r="X61" s="3">
        <v>43.119920970000003</v>
      </c>
      <c r="Y61" s="3"/>
    </row>
    <row r="62" spans="1:25" x14ac:dyDescent="0.3">
      <c r="A62" s="2" t="s">
        <v>97</v>
      </c>
      <c r="B62" s="2" t="s">
        <v>30</v>
      </c>
      <c r="C62" s="2" t="s">
        <v>39</v>
      </c>
      <c r="D62" s="2" t="s">
        <v>40</v>
      </c>
      <c r="E62" s="2">
        <v>1</v>
      </c>
      <c r="F62" s="2">
        <v>3</v>
      </c>
      <c r="G62" s="2">
        <v>10</v>
      </c>
      <c r="H62" s="2">
        <v>1</v>
      </c>
      <c r="I62" s="3">
        <v>45.05</v>
      </c>
      <c r="J62" s="3">
        <v>13.25</v>
      </c>
      <c r="K62" s="3">
        <v>22</v>
      </c>
      <c r="L62" s="3">
        <v>51</v>
      </c>
      <c r="M62" s="3">
        <v>19.850000000000001</v>
      </c>
      <c r="N62" s="3">
        <v>45.5</v>
      </c>
      <c r="O62" s="3">
        <v>69.13</v>
      </c>
      <c r="P62" s="3">
        <v>99.661978469999994</v>
      </c>
      <c r="Q62" s="3">
        <v>20.550594839999999</v>
      </c>
      <c r="R62" s="3">
        <v>40.89</v>
      </c>
      <c r="S62" s="3">
        <v>126.2111063</v>
      </c>
      <c r="T62" s="3">
        <v>29.704492930000001</v>
      </c>
      <c r="U62" s="3"/>
      <c r="V62" s="3">
        <v>8.5</v>
      </c>
      <c r="W62" s="3">
        <v>16.535599999999999</v>
      </c>
      <c r="X62" s="3">
        <v>50.967564369999998</v>
      </c>
      <c r="Y62" s="3"/>
    </row>
    <row r="63" spans="1:25" x14ac:dyDescent="0.3">
      <c r="A63" s="2" t="s">
        <v>98</v>
      </c>
      <c r="B63" s="2" t="s">
        <v>30</v>
      </c>
      <c r="C63" s="2" t="s">
        <v>39</v>
      </c>
      <c r="D63" s="2" t="s">
        <v>40</v>
      </c>
      <c r="E63" s="2">
        <v>1</v>
      </c>
      <c r="F63" s="2">
        <v>3</v>
      </c>
      <c r="G63" s="2">
        <v>10</v>
      </c>
      <c r="H63" s="2">
        <v>2</v>
      </c>
      <c r="I63" s="3">
        <v>50.66</v>
      </c>
      <c r="J63" s="3">
        <v>15.08</v>
      </c>
      <c r="K63" s="3">
        <v>23</v>
      </c>
      <c r="L63" s="3">
        <v>30</v>
      </c>
      <c r="M63" s="3">
        <v>17.86</v>
      </c>
      <c r="N63" s="3">
        <v>44.6</v>
      </c>
      <c r="O63" s="3">
        <v>68.11</v>
      </c>
      <c r="P63" s="3">
        <v>98.998134460000003</v>
      </c>
      <c r="Q63" s="3">
        <v>21.572424120000001</v>
      </c>
      <c r="R63" s="3">
        <v>45.81</v>
      </c>
      <c r="S63" s="3">
        <v>120.4652632</v>
      </c>
      <c r="T63" s="3">
        <v>34.909856769999998</v>
      </c>
      <c r="U63" s="3"/>
      <c r="V63" s="3">
        <v>8.5</v>
      </c>
      <c r="W63" s="3">
        <v>16.227399999999999</v>
      </c>
      <c r="X63" s="3">
        <v>58.278185890000003</v>
      </c>
      <c r="Y63" s="3"/>
    </row>
    <row r="64" spans="1:25" x14ac:dyDescent="0.3">
      <c r="A64" s="2" t="s">
        <v>99</v>
      </c>
      <c r="B64" s="2" t="s">
        <v>30</v>
      </c>
      <c r="C64" s="2" t="s">
        <v>39</v>
      </c>
      <c r="D64" s="2" t="s">
        <v>40</v>
      </c>
      <c r="E64" s="2">
        <v>1</v>
      </c>
      <c r="F64" s="2">
        <v>3</v>
      </c>
      <c r="G64" s="2">
        <v>10</v>
      </c>
      <c r="H64" s="2">
        <v>3</v>
      </c>
      <c r="I64" s="3">
        <v>56.63</v>
      </c>
      <c r="J64" s="3">
        <v>15.81</v>
      </c>
      <c r="K64" s="3">
        <v>21</v>
      </c>
      <c r="L64" s="3">
        <v>47</v>
      </c>
      <c r="M64" s="3">
        <v>25.97</v>
      </c>
      <c r="N64" s="3">
        <v>44.5</v>
      </c>
      <c r="O64" s="3">
        <v>65.62</v>
      </c>
      <c r="P64" s="3"/>
      <c r="Q64" s="3">
        <v>16.5543227</v>
      </c>
      <c r="R64" s="3">
        <v>44.49</v>
      </c>
      <c r="S64" s="3">
        <v>124.57888939999999</v>
      </c>
      <c r="T64" s="3">
        <v>29.811274709999999</v>
      </c>
      <c r="U64" s="3"/>
      <c r="V64" s="3">
        <v>9.5</v>
      </c>
      <c r="W64" s="3">
        <v>20.180399999999999</v>
      </c>
      <c r="X64" s="3">
        <v>61.905411340000001</v>
      </c>
      <c r="Y64" s="3"/>
    </row>
    <row r="65" spans="1:25" x14ac:dyDescent="0.3">
      <c r="A65" s="2" t="s">
        <v>100</v>
      </c>
      <c r="B65" s="2" t="s">
        <v>30</v>
      </c>
      <c r="C65" s="2" t="s">
        <v>39</v>
      </c>
      <c r="D65" s="2" t="s">
        <v>40</v>
      </c>
      <c r="E65" s="2">
        <v>1</v>
      </c>
      <c r="F65" s="2">
        <v>3</v>
      </c>
      <c r="G65" s="2">
        <v>10</v>
      </c>
      <c r="H65" s="2">
        <v>4</v>
      </c>
      <c r="I65" s="3">
        <v>53.61</v>
      </c>
      <c r="J65" s="3">
        <v>18.55</v>
      </c>
      <c r="K65" s="3">
        <v>24</v>
      </c>
      <c r="L65" s="3">
        <v>39</v>
      </c>
      <c r="M65" s="3">
        <v>17.100000000000001</v>
      </c>
      <c r="N65" s="3">
        <v>41.5</v>
      </c>
      <c r="O65" s="3">
        <v>72.13</v>
      </c>
      <c r="P65" s="3">
        <v>103.7311558</v>
      </c>
      <c r="Q65" s="3">
        <v>17.778112950000001</v>
      </c>
      <c r="R65" s="3">
        <v>47.67</v>
      </c>
      <c r="S65" s="3">
        <v>124.0619234</v>
      </c>
      <c r="T65" s="3">
        <v>30.7449069</v>
      </c>
      <c r="U65" s="3"/>
      <c r="V65" s="3">
        <v>10</v>
      </c>
      <c r="W65" s="3">
        <v>17.353000000000002</v>
      </c>
      <c r="X65" s="3">
        <v>63.793013940000002</v>
      </c>
      <c r="Y65" s="3"/>
    </row>
    <row r="66" spans="1:25" x14ac:dyDescent="0.3">
      <c r="A66" s="2" t="s">
        <v>101</v>
      </c>
      <c r="B66" s="2" t="s">
        <v>30</v>
      </c>
      <c r="C66" s="2" t="s">
        <v>39</v>
      </c>
      <c r="D66" s="2" t="s">
        <v>40</v>
      </c>
      <c r="E66" s="2">
        <v>1</v>
      </c>
      <c r="F66" s="2">
        <v>3</v>
      </c>
      <c r="G66" s="2">
        <v>10</v>
      </c>
      <c r="H66" s="2">
        <v>5</v>
      </c>
      <c r="I66" s="3">
        <v>47.82</v>
      </c>
      <c r="J66" s="3">
        <v>15.82</v>
      </c>
      <c r="K66" s="3">
        <v>23</v>
      </c>
      <c r="L66" s="3">
        <v>43</v>
      </c>
      <c r="M66" s="3">
        <v>18.71</v>
      </c>
      <c r="N66" s="3">
        <v>43.6</v>
      </c>
      <c r="O66" s="3">
        <v>78.400000000000006</v>
      </c>
      <c r="P66" s="3">
        <v>102.15840679999999</v>
      </c>
      <c r="Q66" s="3">
        <v>16.28530933</v>
      </c>
      <c r="R66" s="3">
        <v>48.65</v>
      </c>
      <c r="S66" s="3">
        <v>127.26046909999999</v>
      </c>
      <c r="T66" s="3">
        <v>31.662736769999999</v>
      </c>
      <c r="U66" s="3"/>
      <c r="V66" s="3">
        <v>9</v>
      </c>
      <c r="W66" s="3">
        <v>17.031400000000001</v>
      </c>
      <c r="X66" s="3">
        <v>64.741588039999996</v>
      </c>
      <c r="Y66" s="3"/>
    </row>
    <row r="67" spans="1:25" x14ac:dyDescent="0.3">
      <c r="A67" s="2" t="s">
        <v>102</v>
      </c>
      <c r="B67" s="2" t="s">
        <v>30</v>
      </c>
      <c r="C67" s="2" t="s">
        <v>39</v>
      </c>
      <c r="D67" s="2" t="s">
        <v>47</v>
      </c>
      <c r="E67" s="2">
        <v>1</v>
      </c>
      <c r="F67" s="2">
        <v>3</v>
      </c>
      <c r="G67" s="2">
        <v>10</v>
      </c>
      <c r="H67" s="2">
        <v>1</v>
      </c>
      <c r="I67" s="3">
        <v>46.11</v>
      </c>
      <c r="J67" s="3">
        <v>12.22</v>
      </c>
      <c r="K67" s="3">
        <v>24</v>
      </c>
      <c r="L67" s="3">
        <v>31</v>
      </c>
      <c r="M67" s="3">
        <v>8.5299999999999994</v>
      </c>
      <c r="N67" s="3">
        <v>24.4</v>
      </c>
      <c r="O67" s="3">
        <v>78.36</v>
      </c>
      <c r="P67" s="3">
        <v>104.13456720000001</v>
      </c>
      <c r="Q67" s="3">
        <v>19.868789186000001</v>
      </c>
      <c r="R67" s="3">
        <v>56.06</v>
      </c>
      <c r="S67" s="3">
        <v>121.29636910000001</v>
      </c>
      <c r="T67" s="3">
        <v>39.84836885</v>
      </c>
      <c r="U67" s="3"/>
      <c r="V67" s="3">
        <v>10.5</v>
      </c>
      <c r="W67" s="3">
        <v>17.567399999999999</v>
      </c>
      <c r="X67" s="3">
        <v>59.016683139999998</v>
      </c>
      <c r="Y67" s="3"/>
    </row>
    <row r="68" spans="1:25" x14ac:dyDescent="0.3">
      <c r="A68" s="2" t="s">
        <v>103</v>
      </c>
      <c r="B68" s="2" t="s">
        <v>30</v>
      </c>
      <c r="C68" s="2" t="s">
        <v>39</v>
      </c>
      <c r="D68" s="2" t="s">
        <v>47</v>
      </c>
      <c r="E68" s="2">
        <v>1</v>
      </c>
      <c r="F68" s="2">
        <v>3</v>
      </c>
      <c r="G68" s="2">
        <v>10</v>
      </c>
      <c r="H68" s="2">
        <v>2</v>
      </c>
      <c r="I68" s="3">
        <v>45.96</v>
      </c>
      <c r="J68" s="3">
        <v>9.92</v>
      </c>
      <c r="K68" s="3">
        <v>23</v>
      </c>
      <c r="L68" s="3">
        <v>40</v>
      </c>
      <c r="M68" s="3">
        <v>14.83</v>
      </c>
      <c r="N68" s="3">
        <v>25</v>
      </c>
      <c r="O68" s="3">
        <v>77.569999999999993</v>
      </c>
      <c r="P68" s="3">
        <v>99.930691319999994</v>
      </c>
      <c r="Q68" s="3">
        <v>19.045534809999999</v>
      </c>
      <c r="R68" s="3">
        <v>52.69</v>
      </c>
      <c r="S68" s="3">
        <v>119.2812734</v>
      </c>
      <c r="T68" s="3">
        <v>37.272416069999998</v>
      </c>
      <c r="U68" s="3"/>
      <c r="V68" s="3">
        <v>10</v>
      </c>
      <c r="W68" s="3">
        <v>16.857199999999999</v>
      </c>
      <c r="X68" s="3">
        <v>58.4666535</v>
      </c>
      <c r="Y68" s="3"/>
    </row>
    <row r="69" spans="1:25" x14ac:dyDescent="0.3">
      <c r="A69" s="2" t="s">
        <v>104</v>
      </c>
      <c r="B69" s="2" t="s">
        <v>30</v>
      </c>
      <c r="C69" s="2" t="s">
        <v>39</v>
      </c>
      <c r="D69" s="2" t="s">
        <v>47</v>
      </c>
      <c r="E69" s="2">
        <v>1</v>
      </c>
      <c r="F69" s="2">
        <v>3</v>
      </c>
      <c r="G69" s="2">
        <v>10</v>
      </c>
      <c r="H69" s="2">
        <v>3</v>
      </c>
      <c r="I69" s="3">
        <v>52.92</v>
      </c>
      <c r="J69" s="3">
        <v>10.9</v>
      </c>
      <c r="K69" s="3">
        <v>21</v>
      </c>
      <c r="L69" s="3">
        <v>34</v>
      </c>
      <c r="M69" s="3">
        <v>14.98</v>
      </c>
      <c r="N69" s="3">
        <v>33.4</v>
      </c>
      <c r="O69" s="3">
        <v>69.150000000000006</v>
      </c>
      <c r="P69" s="3">
        <v>105.8961566</v>
      </c>
      <c r="Q69" s="3">
        <v>19.638594296000001</v>
      </c>
      <c r="R69" s="3">
        <v>52.88</v>
      </c>
      <c r="S69" s="3">
        <v>121.6410652</v>
      </c>
      <c r="T69" s="3">
        <v>37.70488563</v>
      </c>
      <c r="U69" s="3"/>
      <c r="V69" s="3">
        <v>9</v>
      </c>
      <c r="W69" s="3">
        <v>18.157</v>
      </c>
      <c r="X69" s="3">
        <v>64.45673678</v>
      </c>
      <c r="Y69" s="3"/>
    </row>
    <row r="70" spans="1:25" x14ac:dyDescent="0.3">
      <c r="A70" s="2" t="s">
        <v>105</v>
      </c>
      <c r="B70" s="2" t="s">
        <v>30</v>
      </c>
      <c r="C70" s="2" t="s">
        <v>39</v>
      </c>
      <c r="D70" s="2" t="s">
        <v>47</v>
      </c>
      <c r="E70" s="2">
        <v>1</v>
      </c>
      <c r="F70" s="2">
        <v>3</v>
      </c>
      <c r="G70" s="2">
        <v>10</v>
      </c>
      <c r="H70" s="2">
        <v>4</v>
      </c>
      <c r="I70" s="3">
        <v>45.89</v>
      </c>
      <c r="J70" s="3">
        <v>11.53</v>
      </c>
      <c r="K70" s="3">
        <v>21</v>
      </c>
      <c r="L70" s="3">
        <v>38</v>
      </c>
      <c r="M70" s="3">
        <v>11.84</v>
      </c>
      <c r="N70" s="3">
        <v>26.8</v>
      </c>
      <c r="O70" s="3">
        <v>72</v>
      </c>
      <c r="P70" s="3">
        <v>101.03700550000001</v>
      </c>
      <c r="Q70" s="3">
        <v>21.12579435</v>
      </c>
      <c r="R70" s="3">
        <v>50.58</v>
      </c>
      <c r="S70" s="3">
        <v>123.21381289999999</v>
      </c>
      <c r="T70" s="3">
        <v>34.722656870000002</v>
      </c>
      <c r="U70" s="3"/>
      <c r="V70" s="3">
        <v>9.5</v>
      </c>
      <c r="W70" s="3">
        <v>17.152000000000001</v>
      </c>
      <c r="X70" s="3">
        <v>65.341537840000001</v>
      </c>
      <c r="Y70" s="3"/>
    </row>
    <row r="71" spans="1:25" x14ac:dyDescent="0.3">
      <c r="A71" s="2" t="s">
        <v>106</v>
      </c>
      <c r="B71" s="2" t="s">
        <v>30</v>
      </c>
      <c r="C71" s="2" t="s">
        <v>39</v>
      </c>
      <c r="D71" s="2" t="s">
        <v>47</v>
      </c>
      <c r="E71" s="2">
        <v>1</v>
      </c>
      <c r="F71" s="2">
        <v>3</v>
      </c>
      <c r="G71" s="2">
        <v>10</v>
      </c>
      <c r="H71" s="2">
        <v>5</v>
      </c>
      <c r="I71" s="3">
        <v>41.09</v>
      </c>
      <c r="J71" s="3">
        <v>12.82</v>
      </c>
      <c r="K71" s="3">
        <v>21</v>
      </c>
      <c r="L71" s="3">
        <v>41</v>
      </c>
      <c r="M71" s="3">
        <v>11.24</v>
      </c>
      <c r="N71" s="3">
        <v>22.9</v>
      </c>
      <c r="O71" s="3">
        <v>75.95</v>
      </c>
      <c r="P71" s="3">
        <v>104.6256183</v>
      </c>
      <c r="Q71" s="3">
        <v>19.663130963</v>
      </c>
      <c r="R71" s="3">
        <v>59.13</v>
      </c>
      <c r="S71" s="3">
        <v>115.9527746</v>
      </c>
      <c r="T71" s="3">
        <v>41.450120630000001</v>
      </c>
      <c r="U71" s="3"/>
      <c r="V71" s="3">
        <v>8</v>
      </c>
      <c r="W71" s="3">
        <v>21.426600000000001</v>
      </c>
      <c r="X71" s="3">
        <v>64.425207979999996</v>
      </c>
      <c r="Y71" s="3"/>
    </row>
    <row r="72" spans="1:25" x14ac:dyDescent="0.3">
      <c r="A72" s="2" t="s">
        <v>107</v>
      </c>
      <c r="B72" s="2" t="s">
        <v>30</v>
      </c>
      <c r="C72" s="2" t="s">
        <v>31</v>
      </c>
      <c r="D72" s="2" t="s">
        <v>54</v>
      </c>
      <c r="E72" s="2">
        <v>1</v>
      </c>
      <c r="F72" s="2">
        <v>3</v>
      </c>
      <c r="G72" s="2">
        <v>10</v>
      </c>
      <c r="H72" s="2">
        <v>1</v>
      </c>
      <c r="I72" s="3">
        <v>46.07</v>
      </c>
      <c r="J72" s="3">
        <v>14.6</v>
      </c>
      <c r="K72" s="3">
        <v>22</v>
      </c>
      <c r="L72" s="3">
        <v>48</v>
      </c>
      <c r="M72" s="3">
        <v>16.59</v>
      </c>
      <c r="N72" s="3">
        <v>35.1</v>
      </c>
      <c r="O72" s="3">
        <v>71.31</v>
      </c>
      <c r="P72" s="3">
        <v>56.309800799999998</v>
      </c>
      <c r="Q72" s="3">
        <v>17.523</v>
      </c>
      <c r="R72" s="3">
        <v>52.47</v>
      </c>
      <c r="S72" s="3">
        <v>118.3892032</v>
      </c>
      <c r="T72" s="3">
        <v>38.488824350000002</v>
      </c>
      <c r="U72" s="3"/>
      <c r="V72" s="3">
        <v>10.5</v>
      </c>
      <c r="W72" s="3">
        <v>11.8188</v>
      </c>
      <c r="X72" s="3">
        <v>64.346091569999999</v>
      </c>
      <c r="Y72" s="3"/>
    </row>
    <row r="73" spans="1:25" x14ac:dyDescent="0.3">
      <c r="A73" s="2" t="s">
        <v>108</v>
      </c>
      <c r="B73" s="2" t="s">
        <v>30</v>
      </c>
      <c r="C73" s="2" t="s">
        <v>31</v>
      </c>
      <c r="D73" s="2" t="s">
        <v>54</v>
      </c>
      <c r="E73" s="2">
        <v>1</v>
      </c>
      <c r="F73" s="2">
        <v>3</v>
      </c>
      <c r="G73" s="2">
        <v>10</v>
      </c>
      <c r="H73" s="2">
        <v>2</v>
      </c>
      <c r="I73" s="3">
        <v>42.55</v>
      </c>
      <c r="J73" s="3">
        <v>14.75</v>
      </c>
      <c r="K73" s="3">
        <v>21</v>
      </c>
      <c r="L73" s="3">
        <v>47</v>
      </c>
      <c r="M73" s="3">
        <v>15.67</v>
      </c>
      <c r="N73" s="3">
        <v>28.5</v>
      </c>
      <c r="O73" s="3">
        <v>69.260000000000005</v>
      </c>
      <c r="P73" s="3">
        <v>68.311579530000003</v>
      </c>
      <c r="Q73" s="3">
        <v>18.96</v>
      </c>
      <c r="R73" s="3">
        <v>49.85</v>
      </c>
      <c r="S73" s="3">
        <v>120.0204454</v>
      </c>
      <c r="T73" s="3">
        <v>32.719501829999999</v>
      </c>
      <c r="U73" s="3"/>
      <c r="V73" s="3">
        <v>9.5</v>
      </c>
      <c r="W73" s="3">
        <v>18.27760000000001</v>
      </c>
      <c r="X73" s="3">
        <v>72.951010260000004</v>
      </c>
      <c r="Y73" s="3"/>
    </row>
    <row r="74" spans="1:25" x14ac:dyDescent="0.3">
      <c r="A74" s="2" t="s">
        <v>109</v>
      </c>
      <c r="B74" s="2" t="s">
        <v>30</v>
      </c>
      <c r="C74" s="2" t="s">
        <v>31</v>
      </c>
      <c r="D74" s="2" t="s">
        <v>54</v>
      </c>
      <c r="E74" s="2">
        <v>1</v>
      </c>
      <c r="F74" s="2">
        <v>3</v>
      </c>
      <c r="G74" s="2">
        <v>10</v>
      </c>
      <c r="H74" s="2">
        <v>3</v>
      </c>
      <c r="I74" s="3">
        <v>37.43</v>
      </c>
      <c r="J74" s="3">
        <v>15.74</v>
      </c>
      <c r="K74" s="3">
        <v>22</v>
      </c>
      <c r="L74" s="3">
        <v>50</v>
      </c>
      <c r="M74" s="3">
        <v>20.72</v>
      </c>
      <c r="N74" s="3">
        <v>25.6</v>
      </c>
      <c r="O74" s="3">
        <v>68.97</v>
      </c>
      <c r="P74" s="3">
        <v>62.24739512</v>
      </c>
      <c r="Q74" s="3">
        <v>19.164323</v>
      </c>
      <c r="R74" s="3">
        <v>52.65</v>
      </c>
      <c r="S74" s="3">
        <v>119.16539950000001</v>
      </c>
      <c r="T74" s="3">
        <v>36.073624709999997</v>
      </c>
      <c r="U74" s="3"/>
      <c r="V74" s="3">
        <v>8</v>
      </c>
      <c r="W74" s="3">
        <v>15.2224</v>
      </c>
      <c r="X74" s="3">
        <v>78.500178349999999</v>
      </c>
      <c r="Y74" s="3"/>
    </row>
    <row r="75" spans="1:25" x14ac:dyDescent="0.3">
      <c r="A75" s="2" t="s">
        <v>110</v>
      </c>
      <c r="B75" s="2" t="s">
        <v>30</v>
      </c>
      <c r="C75" s="2" t="s">
        <v>31</v>
      </c>
      <c r="D75" s="2" t="s">
        <v>54</v>
      </c>
      <c r="E75" s="2">
        <v>1</v>
      </c>
      <c r="F75" s="2">
        <v>3</v>
      </c>
      <c r="G75" s="2">
        <v>10</v>
      </c>
      <c r="H75" s="2">
        <v>4</v>
      </c>
      <c r="I75" s="3">
        <v>43.96</v>
      </c>
      <c r="J75" s="3">
        <v>15.57</v>
      </c>
      <c r="K75" s="3">
        <v>21</v>
      </c>
      <c r="L75" s="3">
        <v>45</v>
      </c>
      <c r="M75" s="3">
        <v>19.82</v>
      </c>
      <c r="N75" s="3">
        <v>30.9</v>
      </c>
      <c r="O75" s="3">
        <v>75.180000000000007</v>
      </c>
      <c r="P75" s="3">
        <v>61.28978875</v>
      </c>
      <c r="Q75" s="3">
        <v>18.722304740999999</v>
      </c>
      <c r="R75" s="3">
        <v>52.42</v>
      </c>
      <c r="S75" s="3">
        <v>122.2602524</v>
      </c>
      <c r="T75" s="3">
        <v>37.132093939999997</v>
      </c>
      <c r="U75" s="3"/>
      <c r="V75" s="3">
        <v>7</v>
      </c>
      <c r="W75" s="3">
        <v>17.299399999999999</v>
      </c>
      <c r="X75" s="3">
        <v>70.003628079999999</v>
      </c>
      <c r="Y75" s="3"/>
    </row>
    <row r="76" spans="1:25" x14ac:dyDescent="0.3">
      <c r="A76" s="2" t="s">
        <v>111</v>
      </c>
      <c r="B76" s="2" t="s">
        <v>30</v>
      </c>
      <c r="C76" s="2" t="s">
        <v>31</v>
      </c>
      <c r="D76" s="2" t="s">
        <v>54</v>
      </c>
      <c r="E76" s="2">
        <v>1</v>
      </c>
      <c r="F76" s="2">
        <v>3</v>
      </c>
      <c r="G76" s="2">
        <v>10</v>
      </c>
      <c r="H76" s="2">
        <v>5</v>
      </c>
      <c r="I76" s="3">
        <v>43.86</v>
      </c>
      <c r="J76" s="3">
        <v>14.97</v>
      </c>
      <c r="K76" s="3">
        <v>22</v>
      </c>
      <c r="L76" s="3">
        <v>46</v>
      </c>
      <c r="M76" s="3">
        <v>15.48</v>
      </c>
      <c r="N76" s="3">
        <v>25.8</v>
      </c>
      <c r="O76" s="3">
        <v>68.430000000000007</v>
      </c>
      <c r="P76" s="3">
        <v>70.097176899999994</v>
      </c>
      <c r="Q76" s="3">
        <v>18.518808602</v>
      </c>
      <c r="R76" s="3">
        <v>47.29</v>
      </c>
      <c r="S76" s="3">
        <v>118.6563195</v>
      </c>
      <c r="T76" s="3">
        <v>33.697633449999998</v>
      </c>
      <c r="U76" s="3"/>
      <c r="V76" s="3">
        <v>8</v>
      </c>
      <c r="W76" s="3">
        <v>15.7182</v>
      </c>
      <c r="X76" s="3">
        <v>71.036514969999999</v>
      </c>
      <c r="Y76" s="3"/>
    </row>
    <row r="77" spans="1:25" x14ac:dyDescent="0.3">
      <c r="A77" s="2" t="s">
        <v>112</v>
      </c>
      <c r="B77" s="2" t="s">
        <v>30</v>
      </c>
      <c r="C77" s="2" t="s">
        <v>31</v>
      </c>
      <c r="D77" s="2" t="s">
        <v>61</v>
      </c>
      <c r="E77" s="2">
        <v>1</v>
      </c>
      <c r="F77" s="2">
        <v>3</v>
      </c>
      <c r="G77" s="2">
        <v>10</v>
      </c>
      <c r="H77" s="2">
        <v>1</v>
      </c>
      <c r="I77" s="3">
        <v>31.59</v>
      </c>
      <c r="J77" s="3">
        <v>17.739999999999998</v>
      </c>
      <c r="K77" s="3">
        <v>19</v>
      </c>
      <c r="L77" s="3">
        <v>41</v>
      </c>
      <c r="M77" s="3">
        <v>16.47</v>
      </c>
      <c r="N77" s="3">
        <v>25.9</v>
      </c>
      <c r="O77" s="3">
        <v>80.040000000000006</v>
      </c>
      <c r="P77" s="3">
        <v>106.4766324</v>
      </c>
      <c r="Q77" s="3">
        <v>11.10607942</v>
      </c>
      <c r="R77" s="3">
        <v>53.12</v>
      </c>
      <c r="S77" s="3">
        <v>124.32928149999999</v>
      </c>
      <c r="T77" s="3">
        <v>35.78316504</v>
      </c>
      <c r="U77" s="3"/>
      <c r="V77" s="3">
        <v>9</v>
      </c>
      <c r="W77" s="3">
        <v>13.7082</v>
      </c>
      <c r="X77" s="3">
        <v>61.482435799999998</v>
      </c>
      <c r="Y77" s="3"/>
    </row>
    <row r="78" spans="1:25" x14ac:dyDescent="0.3">
      <c r="A78" s="2" t="s">
        <v>113</v>
      </c>
      <c r="B78" s="2" t="s">
        <v>30</v>
      </c>
      <c r="C78" s="2" t="s">
        <v>31</v>
      </c>
      <c r="D78" s="2" t="s">
        <v>61</v>
      </c>
      <c r="E78" s="2">
        <v>1</v>
      </c>
      <c r="F78" s="2">
        <v>3</v>
      </c>
      <c r="G78" s="2">
        <v>10</v>
      </c>
      <c r="H78" s="2">
        <v>2</v>
      </c>
      <c r="I78" s="3">
        <v>39.700000000000003</v>
      </c>
      <c r="J78" s="3">
        <v>15.17</v>
      </c>
      <c r="K78" s="3">
        <v>20</v>
      </c>
      <c r="L78" s="3">
        <v>28</v>
      </c>
      <c r="M78" s="3">
        <v>9.59</v>
      </c>
      <c r="N78" s="3">
        <v>23.2</v>
      </c>
      <c r="O78" s="3">
        <v>79.36</v>
      </c>
      <c r="P78" s="3">
        <v>106.40224259999999</v>
      </c>
      <c r="Q78" s="3">
        <v>9.9864307940000003</v>
      </c>
      <c r="R78" s="3">
        <v>51.25</v>
      </c>
      <c r="S78" s="3">
        <v>120.5981402</v>
      </c>
      <c r="T78" s="3">
        <v>40.882663809999997</v>
      </c>
      <c r="U78" s="3"/>
      <c r="V78" s="3">
        <v>9</v>
      </c>
      <c r="W78" s="3">
        <v>14.1236</v>
      </c>
      <c r="X78" s="3">
        <v>67.436295110000003</v>
      </c>
      <c r="Y78" s="3"/>
    </row>
    <row r="79" spans="1:25" x14ac:dyDescent="0.3">
      <c r="A79" s="2" t="s">
        <v>114</v>
      </c>
      <c r="B79" s="2" t="s">
        <v>30</v>
      </c>
      <c r="C79" s="2" t="s">
        <v>31</v>
      </c>
      <c r="D79" s="2" t="s">
        <v>61</v>
      </c>
      <c r="E79" s="2">
        <v>1</v>
      </c>
      <c r="F79" s="2">
        <v>3</v>
      </c>
      <c r="G79" s="2">
        <v>10</v>
      </c>
      <c r="H79" s="2">
        <v>3</v>
      </c>
      <c r="I79" s="3">
        <v>34.380000000000003</v>
      </c>
      <c r="J79" s="3">
        <v>14.68</v>
      </c>
      <c r="K79" s="3">
        <v>21</v>
      </c>
      <c r="L79" s="3">
        <v>38</v>
      </c>
      <c r="M79" s="3">
        <v>12.87</v>
      </c>
      <c r="N79" s="3">
        <v>28.9</v>
      </c>
      <c r="O79" s="3">
        <v>71.59</v>
      </c>
      <c r="P79" s="3">
        <v>99.522964700000003</v>
      </c>
      <c r="Q79" s="3">
        <v>15.473241420000001</v>
      </c>
      <c r="R79" s="3">
        <v>53.07</v>
      </c>
      <c r="S79" s="3">
        <v>115.8518845</v>
      </c>
      <c r="T79" s="3">
        <v>36.30313761</v>
      </c>
      <c r="U79" s="3"/>
      <c r="V79" s="3">
        <v>12</v>
      </c>
      <c r="W79" s="3">
        <v>17.044799999999999</v>
      </c>
      <c r="X79" s="3">
        <v>69.484495480000007</v>
      </c>
      <c r="Y79" s="3"/>
    </row>
    <row r="80" spans="1:25" x14ac:dyDescent="0.3">
      <c r="A80" s="2" t="s">
        <v>115</v>
      </c>
      <c r="B80" s="2" t="s">
        <v>30</v>
      </c>
      <c r="C80" s="2" t="s">
        <v>31</v>
      </c>
      <c r="D80" s="2" t="s">
        <v>61</v>
      </c>
      <c r="E80" s="2">
        <v>1</v>
      </c>
      <c r="F80" s="2">
        <v>3</v>
      </c>
      <c r="G80" s="2">
        <v>10</v>
      </c>
      <c r="H80" s="2">
        <v>4</v>
      </c>
      <c r="I80" s="3">
        <v>45.09</v>
      </c>
      <c r="J80" s="3">
        <v>17.059999999999999</v>
      </c>
      <c r="K80" s="3">
        <v>19</v>
      </c>
      <c r="L80" s="3">
        <v>41</v>
      </c>
      <c r="M80" s="3">
        <v>13.1</v>
      </c>
      <c r="N80" s="3">
        <v>28.8</v>
      </c>
      <c r="O80" s="3">
        <v>78.89</v>
      </c>
      <c r="P80" s="3">
        <v>97.234603460000002</v>
      </c>
      <c r="Q80" s="3">
        <v>12.94304833</v>
      </c>
      <c r="R80" s="3">
        <v>53.8</v>
      </c>
      <c r="S80" s="3">
        <v>121.9682586</v>
      </c>
      <c r="T80" s="3">
        <v>34.620597920000002</v>
      </c>
      <c r="U80" s="3"/>
      <c r="V80" s="3">
        <v>10.5</v>
      </c>
      <c r="W80" s="3">
        <v>14.1906</v>
      </c>
      <c r="X80" s="3">
        <v>59.949272659999998</v>
      </c>
      <c r="Y80" s="3"/>
    </row>
    <row r="81" spans="1:25" x14ac:dyDescent="0.3">
      <c r="A81" s="2" t="s">
        <v>116</v>
      </c>
      <c r="B81" s="2" t="s">
        <v>30</v>
      </c>
      <c r="C81" s="2" t="s">
        <v>31</v>
      </c>
      <c r="D81" s="2" t="s">
        <v>61</v>
      </c>
      <c r="E81" s="2">
        <v>1</v>
      </c>
      <c r="F81" s="2">
        <v>3</v>
      </c>
      <c r="G81" s="2">
        <v>10</v>
      </c>
      <c r="H81" s="2">
        <v>5</v>
      </c>
      <c r="I81" s="3">
        <v>45.12</v>
      </c>
      <c r="J81" s="3">
        <v>15.73</v>
      </c>
      <c r="K81" s="3">
        <v>20</v>
      </c>
      <c r="L81" s="3">
        <v>48</v>
      </c>
      <c r="M81" s="3">
        <v>13.67</v>
      </c>
      <c r="N81" s="3">
        <v>25.7</v>
      </c>
      <c r="O81" s="3">
        <v>78.5</v>
      </c>
      <c r="P81" s="3">
        <v>106.0196474</v>
      </c>
      <c r="Q81" s="3">
        <v>13.73332079</v>
      </c>
      <c r="R81" s="3">
        <v>51.46</v>
      </c>
      <c r="S81" s="3">
        <v>116.38004290000001</v>
      </c>
      <c r="T81" s="3">
        <v>37.449861149999997</v>
      </c>
      <c r="U81" s="3"/>
      <c r="V81" s="3">
        <v>11</v>
      </c>
      <c r="W81" s="3">
        <v>13.5876</v>
      </c>
      <c r="X81" s="3">
        <v>67.227595320000006</v>
      </c>
      <c r="Y81" s="3"/>
    </row>
    <row r="82" spans="1:25" x14ac:dyDescent="0.3">
      <c r="A82" s="2" t="s">
        <v>117</v>
      </c>
      <c r="B82" s="2" t="s">
        <v>30</v>
      </c>
      <c r="C82" s="2" t="s">
        <v>31</v>
      </c>
      <c r="D82" s="2" t="s">
        <v>32</v>
      </c>
      <c r="E82" s="2">
        <v>1</v>
      </c>
      <c r="F82" s="2">
        <v>4</v>
      </c>
      <c r="G82" s="2">
        <v>14</v>
      </c>
      <c r="H82" s="2">
        <v>1</v>
      </c>
      <c r="I82" s="3">
        <v>20.68</v>
      </c>
      <c r="J82" s="3">
        <v>15.29</v>
      </c>
      <c r="K82" s="3">
        <v>21</v>
      </c>
      <c r="L82" s="3">
        <v>30</v>
      </c>
      <c r="M82" s="3">
        <v>15.63</v>
      </c>
      <c r="N82" s="3">
        <v>27.1</v>
      </c>
      <c r="O82" s="3">
        <v>67.8</v>
      </c>
      <c r="P82" s="3">
        <v>100.76888649999999</v>
      </c>
      <c r="Q82" s="3">
        <v>17.661044700000001</v>
      </c>
      <c r="R82" s="3">
        <v>47.23</v>
      </c>
      <c r="S82" s="3">
        <v>125.29782350000001</v>
      </c>
      <c r="T82" s="3">
        <v>29.749193269999999</v>
      </c>
      <c r="U82" s="3"/>
      <c r="V82" s="3">
        <v>9</v>
      </c>
      <c r="W82" s="3">
        <v>20.971</v>
      </c>
      <c r="X82" s="3">
        <v>61.556086309999998</v>
      </c>
      <c r="Y82" s="3">
        <v>0.72288570897099858</v>
      </c>
    </row>
    <row r="83" spans="1:25" x14ac:dyDescent="0.3">
      <c r="A83" s="2" t="s">
        <v>118</v>
      </c>
      <c r="B83" s="2" t="s">
        <v>30</v>
      </c>
      <c r="C83" s="2" t="s">
        <v>31</v>
      </c>
      <c r="D83" s="2" t="s">
        <v>32</v>
      </c>
      <c r="E83" s="2">
        <v>1</v>
      </c>
      <c r="F83" s="2">
        <v>4</v>
      </c>
      <c r="G83" s="2">
        <v>14</v>
      </c>
      <c r="H83" s="2">
        <v>2</v>
      </c>
      <c r="I83" s="3">
        <v>25.23</v>
      </c>
      <c r="J83" s="3">
        <v>13.28</v>
      </c>
      <c r="K83" s="3">
        <v>22</v>
      </c>
      <c r="L83" s="3">
        <v>32</v>
      </c>
      <c r="M83" s="3">
        <v>13.19</v>
      </c>
      <c r="N83" s="3">
        <v>28.1</v>
      </c>
      <c r="O83" s="3">
        <v>70.02</v>
      </c>
      <c r="P83" s="3">
        <v>96.053056929999997</v>
      </c>
      <c r="Q83" s="3">
        <v>18.96574807</v>
      </c>
      <c r="R83" s="3">
        <v>54.63</v>
      </c>
      <c r="S83" s="3">
        <v>122.4739077</v>
      </c>
      <c r="T83" s="3">
        <v>29.278121519999999</v>
      </c>
      <c r="U83" s="3"/>
      <c r="V83" s="3">
        <v>10</v>
      </c>
      <c r="W83" s="3">
        <v>23.691199999999998</v>
      </c>
      <c r="X83" s="3">
        <v>54.906119990000001</v>
      </c>
      <c r="Y83" s="3">
        <v>1.5985765271553789</v>
      </c>
    </row>
    <row r="84" spans="1:25" x14ac:dyDescent="0.3">
      <c r="A84" s="2" t="s">
        <v>119</v>
      </c>
      <c r="B84" s="2" t="s">
        <v>30</v>
      </c>
      <c r="C84" s="2" t="s">
        <v>31</v>
      </c>
      <c r="D84" s="2" t="s">
        <v>32</v>
      </c>
      <c r="E84" s="2">
        <v>1</v>
      </c>
      <c r="F84" s="2">
        <v>4</v>
      </c>
      <c r="G84" s="2">
        <v>14</v>
      </c>
      <c r="H84" s="2">
        <v>3</v>
      </c>
      <c r="I84" s="3">
        <v>20.27</v>
      </c>
      <c r="J84" s="3">
        <v>15.12</v>
      </c>
      <c r="K84" s="3">
        <v>23</v>
      </c>
      <c r="L84" s="3">
        <v>35</v>
      </c>
      <c r="M84" s="3">
        <v>19.82</v>
      </c>
      <c r="N84" s="3">
        <v>39</v>
      </c>
      <c r="O84" s="3">
        <v>77.930000000000007</v>
      </c>
      <c r="P84" s="3">
        <v>101.62977960000001</v>
      </c>
      <c r="Q84" s="3">
        <v>18.25477472</v>
      </c>
      <c r="R84" s="3">
        <v>56.75</v>
      </c>
      <c r="S84" s="3">
        <v>117.67018520000001</v>
      </c>
      <c r="T84" s="3">
        <v>30.59957679</v>
      </c>
      <c r="U84" s="3"/>
      <c r="V84" s="3">
        <v>8.5</v>
      </c>
      <c r="W84" s="3">
        <v>17.4602</v>
      </c>
      <c r="X84" s="3">
        <v>24.098109600000001</v>
      </c>
      <c r="Y84" s="3">
        <v>2.0158520176996149</v>
      </c>
    </row>
    <row r="85" spans="1:25" x14ac:dyDescent="0.3">
      <c r="A85" s="2" t="s">
        <v>120</v>
      </c>
      <c r="B85" s="2" t="s">
        <v>30</v>
      </c>
      <c r="C85" s="2" t="s">
        <v>31</v>
      </c>
      <c r="D85" s="2" t="s">
        <v>32</v>
      </c>
      <c r="E85" s="2">
        <v>1</v>
      </c>
      <c r="F85" s="2">
        <v>4</v>
      </c>
      <c r="G85" s="2">
        <v>14</v>
      </c>
      <c r="H85" s="2">
        <v>4</v>
      </c>
      <c r="I85" s="3">
        <v>31.58</v>
      </c>
      <c r="J85" s="3">
        <v>14.7</v>
      </c>
      <c r="K85" s="3">
        <v>21</v>
      </c>
      <c r="L85" s="3">
        <v>30</v>
      </c>
      <c r="M85" s="3">
        <v>18.32</v>
      </c>
      <c r="N85" s="3">
        <v>29.4</v>
      </c>
      <c r="O85" s="3">
        <v>70.41</v>
      </c>
      <c r="P85" s="3">
        <v>91.004322579999993</v>
      </c>
      <c r="Q85" s="3">
        <v>18.252805259999999</v>
      </c>
      <c r="R85" s="3">
        <v>55.42</v>
      </c>
      <c r="S85" s="3">
        <v>128.1313384</v>
      </c>
      <c r="T85" s="3">
        <v>32.697928070000003</v>
      </c>
      <c r="U85" s="3"/>
      <c r="V85" s="3">
        <v>10.5</v>
      </c>
      <c r="W85" s="3">
        <v>24.5488</v>
      </c>
      <c r="X85" s="3">
        <v>35.885954609999999</v>
      </c>
      <c r="Y85" s="3">
        <v>2.0305448166624389</v>
      </c>
    </row>
    <row r="86" spans="1:25" x14ac:dyDescent="0.3">
      <c r="A86" s="2" t="s">
        <v>121</v>
      </c>
      <c r="B86" s="2" t="s">
        <v>30</v>
      </c>
      <c r="C86" s="2" t="s">
        <v>31</v>
      </c>
      <c r="D86" s="2" t="s">
        <v>32</v>
      </c>
      <c r="E86" s="2">
        <v>1</v>
      </c>
      <c r="F86" s="2">
        <v>4</v>
      </c>
      <c r="G86" s="2">
        <v>14</v>
      </c>
      <c r="H86" s="2">
        <v>5</v>
      </c>
      <c r="I86" s="3">
        <v>24.51</v>
      </c>
      <c r="J86" s="3">
        <v>13.68</v>
      </c>
      <c r="K86" s="3">
        <v>24</v>
      </c>
      <c r="L86" s="3">
        <v>32</v>
      </c>
      <c r="M86" s="3">
        <v>15.08</v>
      </c>
      <c r="N86" s="3">
        <v>27.5</v>
      </c>
      <c r="O86" s="3">
        <v>71.040000000000006</v>
      </c>
      <c r="P86" s="3">
        <v>102.0995867</v>
      </c>
      <c r="Q86" s="3">
        <v>15.79081062</v>
      </c>
      <c r="R86" s="3">
        <v>56.95</v>
      </c>
      <c r="S86" s="3">
        <v>125.72999369999999</v>
      </c>
      <c r="T86" s="3">
        <v>33.888703130000003</v>
      </c>
      <c r="U86" s="3"/>
      <c r="V86" s="3">
        <v>10</v>
      </c>
      <c r="W86" s="3">
        <v>25.902200000000001</v>
      </c>
      <c r="X86" s="3">
        <v>43.059395250000001</v>
      </c>
      <c r="Y86" s="3">
        <v>0.54951068120966196</v>
      </c>
    </row>
    <row r="87" spans="1:25" x14ac:dyDescent="0.3">
      <c r="A87" s="2" t="s">
        <v>122</v>
      </c>
      <c r="B87" s="2" t="s">
        <v>30</v>
      </c>
      <c r="C87" s="2" t="s">
        <v>39</v>
      </c>
      <c r="D87" s="2" t="s">
        <v>40</v>
      </c>
      <c r="E87" s="2">
        <v>1</v>
      </c>
      <c r="F87" s="2">
        <v>4</v>
      </c>
      <c r="G87" s="2">
        <v>14</v>
      </c>
      <c r="H87" s="2">
        <v>1</v>
      </c>
      <c r="I87" s="3">
        <v>31.76</v>
      </c>
      <c r="J87" s="3">
        <v>14.82</v>
      </c>
      <c r="K87" s="3">
        <v>22</v>
      </c>
      <c r="L87" s="3">
        <v>19</v>
      </c>
      <c r="M87" s="3">
        <v>12.44</v>
      </c>
      <c r="N87" s="3">
        <v>41.7</v>
      </c>
      <c r="O87" s="3">
        <v>72.959999999999994</v>
      </c>
      <c r="P87" s="3">
        <v>92.671647890000003</v>
      </c>
      <c r="Q87" s="3">
        <v>21.02285423</v>
      </c>
      <c r="R87" s="3">
        <v>47.43</v>
      </c>
      <c r="S87" s="3">
        <v>116.86364260000001</v>
      </c>
      <c r="T87" s="3">
        <v>26.578265559999998</v>
      </c>
      <c r="U87" s="3"/>
      <c r="V87" s="3">
        <v>13</v>
      </c>
      <c r="W87" s="3">
        <v>32.159999999999997</v>
      </c>
      <c r="X87" s="3">
        <v>58.368603399999998</v>
      </c>
      <c r="Y87" s="3">
        <v>0.10872671232490649</v>
      </c>
    </row>
    <row r="88" spans="1:25" x14ac:dyDescent="0.3">
      <c r="A88" s="2" t="s">
        <v>123</v>
      </c>
      <c r="B88" s="2" t="s">
        <v>30</v>
      </c>
      <c r="C88" s="2" t="s">
        <v>39</v>
      </c>
      <c r="D88" s="2" t="s">
        <v>40</v>
      </c>
      <c r="E88" s="2">
        <v>1</v>
      </c>
      <c r="F88" s="2">
        <v>4</v>
      </c>
      <c r="G88" s="2">
        <v>14</v>
      </c>
      <c r="H88" s="2">
        <v>2</v>
      </c>
      <c r="I88" s="3">
        <v>39.99</v>
      </c>
      <c r="J88" s="3">
        <v>14.38</v>
      </c>
      <c r="K88" s="3">
        <v>23</v>
      </c>
      <c r="L88" s="3">
        <v>30</v>
      </c>
      <c r="M88" s="3">
        <v>22.87</v>
      </c>
      <c r="N88" s="3">
        <v>38.4</v>
      </c>
      <c r="O88" s="3">
        <v>71.540000000000006</v>
      </c>
      <c r="P88" s="3">
        <v>99.646862560000002</v>
      </c>
      <c r="Q88" s="3">
        <v>17.842314869999999</v>
      </c>
      <c r="R88" s="3">
        <v>43.01</v>
      </c>
      <c r="S88" s="3">
        <v>128.0866374</v>
      </c>
      <c r="T88" s="3">
        <v>26.553990280000001</v>
      </c>
      <c r="U88" s="3"/>
      <c r="V88" s="3">
        <v>11.5</v>
      </c>
      <c r="W88" s="3">
        <v>28.18020000000001</v>
      </c>
      <c r="X88" s="3">
        <v>46.899083990000001</v>
      </c>
      <c r="Y88" s="3">
        <v>0.14105087004312211</v>
      </c>
    </row>
    <row r="89" spans="1:25" x14ac:dyDescent="0.3">
      <c r="A89" s="2" t="s">
        <v>124</v>
      </c>
      <c r="B89" s="2" t="s">
        <v>30</v>
      </c>
      <c r="C89" s="2" t="s">
        <v>39</v>
      </c>
      <c r="D89" s="2" t="s">
        <v>40</v>
      </c>
      <c r="E89" s="2">
        <v>1</v>
      </c>
      <c r="F89" s="2">
        <v>4</v>
      </c>
      <c r="G89" s="2">
        <v>14</v>
      </c>
      <c r="H89" s="2">
        <v>3</v>
      </c>
      <c r="I89" s="3">
        <v>38.659999999999997</v>
      </c>
      <c r="J89" s="3">
        <v>11.39</v>
      </c>
      <c r="K89" s="3">
        <v>20</v>
      </c>
      <c r="L89" s="3">
        <v>32</v>
      </c>
      <c r="M89" s="3">
        <v>15.79</v>
      </c>
      <c r="N89" s="3">
        <v>37.4</v>
      </c>
      <c r="O89" s="3">
        <v>73.040000000000006</v>
      </c>
      <c r="P89" s="3">
        <v>91.928207349999994</v>
      </c>
      <c r="Q89" s="3">
        <v>23.773464199999999</v>
      </c>
      <c r="R89" s="3">
        <v>50.52</v>
      </c>
      <c r="S89" s="3">
        <v>125.8108697</v>
      </c>
      <c r="T89" s="3">
        <v>28.250823</v>
      </c>
      <c r="U89" s="3"/>
      <c r="V89" s="3">
        <v>12</v>
      </c>
      <c r="W89" s="3">
        <v>26.116600000000009</v>
      </c>
      <c r="X89" s="3">
        <v>45.924578240000002</v>
      </c>
      <c r="Y89" s="3">
        <v>9.1095353569516924E-2</v>
      </c>
    </row>
    <row r="90" spans="1:25" x14ac:dyDescent="0.3">
      <c r="A90" s="2" t="s">
        <v>125</v>
      </c>
      <c r="B90" s="2" t="s">
        <v>30</v>
      </c>
      <c r="C90" s="2" t="s">
        <v>39</v>
      </c>
      <c r="D90" s="2" t="s">
        <v>40</v>
      </c>
      <c r="E90" s="2">
        <v>1</v>
      </c>
      <c r="F90" s="2">
        <v>4</v>
      </c>
      <c r="G90" s="2">
        <v>14</v>
      </c>
      <c r="H90" s="2">
        <v>4</v>
      </c>
      <c r="I90" s="3">
        <v>38.92</v>
      </c>
      <c r="J90" s="3">
        <v>12.91</v>
      </c>
      <c r="K90" s="3">
        <v>21</v>
      </c>
      <c r="L90" s="3">
        <v>33</v>
      </c>
      <c r="M90" s="3">
        <v>18.739999999999998</v>
      </c>
      <c r="N90" s="3">
        <v>36.6</v>
      </c>
      <c r="O90" s="3">
        <v>74.010000000000005</v>
      </c>
      <c r="P90" s="3">
        <v>87.590876019999996</v>
      </c>
      <c r="Q90" s="3">
        <v>22.840183889999999</v>
      </c>
      <c r="R90" s="3">
        <v>47.64</v>
      </c>
      <c r="S90" s="3">
        <v>130.8728696</v>
      </c>
      <c r="T90" s="3">
        <v>21.714983310000001</v>
      </c>
      <c r="U90" s="3"/>
      <c r="V90" s="3">
        <v>10</v>
      </c>
      <c r="W90" s="3">
        <v>27.711200000000002</v>
      </c>
      <c r="X90" s="3">
        <v>32.258052829999997</v>
      </c>
      <c r="Y90" s="3">
        <v>0.1880678267241627</v>
      </c>
    </row>
    <row r="91" spans="1:25" x14ac:dyDescent="0.3">
      <c r="A91" s="2" t="s">
        <v>126</v>
      </c>
      <c r="B91" s="2" t="s">
        <v>30</v>
      </c>
      <c r="C91" s="2" t="s">
        <v>39</v>
      </c>
      <c r="D91" s="2" t="s">
        <v>40</v>
      </c>
      <c r="E91" s="2">
        <v>1</v>
      </c>
      <c r="F91" s="2">
        <v>4</v>
      </c>
      <c r="G91" s="2">
        <v>14</v>
      </c>
      <c r="H91" s="2">
        <v>5</v>
      </c>
      <c r="I91" s="3">
        <v>33.26</v>
      </c>
      <c r="J91" s="3">
        <v>10.67</v>
      </c>
      <c r="K91" s="3">
        <v>22</v>
      </c>
      <c r="L91" s="3">
        <v>35</v>
      </c>
      <c r="M91" s="3">
        <v>15.17</v>
      </c>
      <c r="N91" s="3">
        <v>38.6</v>
      </c>
      <c r="O91" s="3">
        <v>77.13</v>
      </c>
      <c r="P91" s="3">
        <v>100.8913043</v>
      </c>
      <c r="Q91" s="3">
        <v>17.994135159999999</v>
      </c>
      <c r="R91" s="3">
        <v>47.59</v>
      </c>
      <c r="S91" s="3">
        <v>135.18327830000001</v>
      </c>
      <c r="T91" s="3">
        <v>28.68746939</v>
      </c>
      <c r="U91" s="3"/>
      <c r="V91" s="3">
        <v>10</v>
      </c>
      <c r="W91" s="3">
        <v>25.098200000000009</v>
      </c>
      <c r="X91" s="3">
        <v>42.208038019999996</v>
      </c>
      <c r="Y91" s="3">
        <v>1.093144242834194</v>
      </c>
    </row>
    <row r="92" spans="1:25" x14ac:dyDescent="0.3">
      <c r="A92" s="2" t="s">
        <v>127</v>
      </c>
      <c r="B92" s="2" t="s">
        <v>30</v>
      </c>
      <c r="C92" s="2" t="s">
        <v>39</v>
      </c>
      <c r="D92" s="2" t="s">
        <v>47</v>
      </c>
      <c r="E92" s="2">
        <v>1</v>
      </c>
      <c r="F92" s="2">
        <v>4</v>
      </c>
      <c r="G92" s="2">
        <v>14</v>
      </c>
      <c r="H92" s="2">
        <v>1</v>
      </c>
      <c r="I92" s="3">
        <v>22.7</v>
      </c>
      <c r="J92" s="3">
        <v>11.33</v>
      </c>
      <c r="K92" s="3">
        <v>24</v>
      </c>
      <c r="L92" s="3">
        <v>29</v>
      </c>
      <c r="M92" s="3">
        <v>18.47</v>
      </c>
      <c r="N92" s="3">
        <v>22.6</v>
      </c>
      <c r="O92" s="3">
        <v>77.2</v>
      </c>
      <c r="P92" s="3">
        <v>107.2674265</v>
      </c>
      <c r="Q92" s="3">
        <v>23.916823858000001</v>
      </c>
      <c r="R92" s="3">
        <v>58.68</v>
      </c>
      <c r="S92" s="3">
        <v>119.9062375</v>
      </c>
      <c r="T92" s="3">
        <v>39.130633779999997</v>
      </c>
      <c r="U92" s="3"/>
      <c r="V92" s="3">
        <v>9</v>
      </c>
      <c r="W92" s="3">
        <v>21.2256</v>
      </c>
      <c r="X92" s="3">
        <v>57.63611736</v>
      </c>
      <c r="Y92" s="3"/>
    </row>
    <row r="93" spans="1:25" x14ac:dyDescent="0.3">
      <c r="A93" s="2" t="s">
        <v>128</v>
      </c>
      <c r="B93" s="2" t="s">
        <v>30</v>
      </c>
      <c r="C93" s="2" t="s">
        <v>39</v>
      </c>
      <c r="D93" s="2" t="s">
        <v>47</v>
      </c>
      <c r="E93" s="2">
        <v>1</v>
      </c>
      <c r="F93" s="2">
        <v>4</v>
      </c>
      <c r="G93" s="2">
        <v>14</v>
      </c>
      <c r="H93" s="2">
        <v>2</v>
      </c>
      <c r="I93" s="3">
        <v>37.93</v>
      </c>
      <c r="J93" s="3">
        <v>13.35</v>
      </c>
      <c r="K93" s="3">
        <v>23</v>
      </c>
      <c r="L93" s="3">
        <v>30</v>
      </c>
      <c r="M93" s="3">
        <v>15.27</v>
      </c>
      <c r="N93" s="3">
        <v>28.1</v>
      </c>
      <c r="O93" s="3">
        <v>74.83</v>
      </c>
      <c r="P93" s="3">
        <v>102.5780817</v>
      </c>
      <c r="Q93" s="3">
        <v>22.530743654999998</v>
      </c>
      <c r="R93" s="3">
        <v>57.35</v>
      </c>
      <c r="S93" s="3">
        <v>117.7582652</v>
      </c>
      <c r="T93" s="3">
        <v>42.941821109999999</v>
      </c>
      <c r="U93" s="3"/>
      <c r="V93" s="3">
        <v>10.5</v>
      </c>
      <c r="W93" s="3">
        <v>16.642800000000001</v>
      </c>
      <c r="X93" s="3">
        <v>70.187583939999996</v>
      </c>
      <c r="Y93" s="3"/>
    </row>
    <row r="94" spans="1:25" x14ac:dyDescent="0.3">
      <c r="A94" s="2" t="s">
        <v>129</v>
      </c>
      <c r="B94" s="2" t="s">
        <v>30</v>
      </c>
      <c r="C94" s="2" t="s">
        <v>39</v>
      </c>
      <c r="D94" s="2" t="s">
        <v>47</v>
      </c>
      <c r="E94" s="2">
        <v>1</v>
      </c>
      <c r="F94" s="2">
        <v>4</v>
      </c>
      <c r="G94" s="2">
        <v>14</v>
      </c>
      <c r="H94" s="2">
        <v>3</v>
      </c>
      <c r="I94" s="3">
        <v>33.57</v>
      </c>
      <c r="J94" s="3">
        <v>14.22</v>
      </c>
      <c r="K94" s="3">
        <v>22</v>
      </c>
      <c r="L94" s="3">
        <v>32</v>
      </c>
      <c r="M94" s="3">
        <v>19.170000000000002</v>
      </c>
      <c r="N94" s="3">
        <v>25.6</v>
      </c>
      <c r="O94" s="3">
        <v>77.55</v>
      </c>
      <c r="P94" s="3">
        <v>97.691292649999994</v>
      </c>
      <c r="Q94" s="3">
        <v>20.161422139999999</v>
      </c>
      <c r="R94" s="3">
        <v>51.62</v>
      </c>
      <c r="S94" s="3">
        <v>119.8199661</v>
      </c>
      <c r="T94" s="3">
        <v>34.889760680000002</v>
      </c>
      <c r="U94" s="3"/>
      <c r="V94" s="3">
        <v>9.5</v>
      </c>
      <c r="W94" s="3">
        <v>22.351199999999999</v>
      </c>
      <c r="X94" s="3">
        <v>90.178124999999994</v>
      </c>
      <c r="Y94" s="3"/>
    </row>
    <row r="95" spans="1:25" x14ac:dyDescent="0.3">
      <c r="A95" s="2" t="s">
        <v>130</v>
      </c>
      <c r="B95" s="2" t="s">
        <v>30</v>
      </c>
      <c r="C95" s="2" t="s">
        <v>39</v>
      </c>
      <c r="D95" s="2" t="s">
        <v>47</v>
      </c>
      <c r="E95" s="2">
        <v>1</v>
      </c>
      <c r="F95" s="2">
        <v>4</v>
      </c>
      <c r="G95" s="2">
        <v>14</v>
      </c>
      <c r="H95" s="2">
        <v>4</v>
      </c>
      <c r="I95" s="3">
        <v>30.17</v>
      </c>
      <c r="J95" s="3">
        <v>12.9</v>
      </c>
      <c r="K95" s="3">
        <v>25</v>
      </c>
      <c r="L95" s="3">
        <v>30.5</v>
      </c>
      <c r="M95" s="3">
        <v>21.23</v>
      </c>
      <c r="N95" s="3">
        <v>29</v>
      </c>
      <c r="O95" s="3">
        <v>82.34</v>
      </c>
      <c r="P95" s="3">
        <v>79.572740479999993</v>
      </c>
      <c r="Q95" s="3">
        <v>22.127706502999999</v>
      </c>
      <c r="R95" s="3">
        <v>63.85</v>
      </c>
      <c r="S95" s="3">
        <v>115.6132673</v>
      </c>
      <c r="T95" s="3">
        <v>43.62723003</v>
      </c>
      <c r="U95" s="3"/>
      <c r="V95" s="3">
        <v>12</v>
      </c>
      <c r="W95" s="3">
        <v>22.4986</v>
      </c>
      <c r="X95" s="3">
        <v>48.860532999999997</v>
      </c>
      <c r="Y95" s="3"/>
    </row>
    <row r="96" spans="1:25" x14ac:dyDescent="0.3">
      <c r="A96" s="2" t="s">
        <v>131</v>
      </c>
      <c r="B96" s="2" t="s">
        <v>30</v>
      </c>
      <c r="C96" s="2" t="s">
        <v>39</v>
      </c>
      <c r="D96" s="2" t="s">
        <v>47</v>
      </c>
      <c r="E96" s="2">
        <v>1</v>
      </c>
      <c r="F96" s="2">
        <v>4</v>
      </c>
      <c r="G96" s="2">
        <v>14</v>
      </c>
      <c r="H96" s="2">
        <v>5</v>
      </c>
      <c r="I96" s="3">
        <v>34.159999999999997</v>
      </c>
      <c r="J96" s="3">
        <v>14.32</v>
      </c>
      <c r="K96" s="3">
        <v>22</v>
      </c>
      <c r="L96" s="3">
        <v>28</v>
      </c>
      <c r="M96" s="3">
        <v>19.11</v>
      </c>
      <c r="N96" s="3">
        <v>28.7</v>
      </c>
      <c r="O96" s="3">
        <v>80.88</v>
      </c>
      <c r="P96" s="3">
        <v>104.3116618</v>
      </c>
      <c r="Q96" s="3">
        <v>21.553388436999999</v>
      </c>
      <c r="R96" s="3">
        <v>60</v>
      </c>
      <c r="S96" s="3">
        <v>117.6286925</v>
      </c>
      <c r="T96" s="3">
        <v>42.631277249999997</v>
      </c>
      <c r="U96" s="3"/>
      <c r="V96" s="3">
        <v>12</v>
      </c>
      <c r="W96" s="3">
        <v>22.967600000000001</v>
      </c>
      <c r="X96" s="3">
        <v>58.664440749999997</v>
      </c>
      <c r="Y96" s="3"/>
    </row>
    <row r="97" spans="1:25" x14ac:dyDescent="0.3">
      <c r="A97" s="2" t="s">
        <v>132</v>
      </c>
      <c r="B97" s="2" t="s">
        <v>30</v>
      </c>
      <c r="C97" s="2" t="s">
        <v>31</v>
      </c>
      <c r="D97" s="2" t="s">
        <v>54</v>
      </c>
      <c r="E97" s="2">
        <v>1</v>
      </c>
      <c r="F97" s="2">
        <v>4</v>
      </c>
      <c r="G97" s="2">
        <v>14</v>
      </c>
      <c r="H97" s="2">
        <v>1</v>
      </c>
      <c r="I97" s="3">
        <v>41.27</v>
      </c>
      <c r="J97" s="3">
        <v>16.440000000000001</v>
      </c>
      <c r="K97" s="3">
        <v>22</v>
      </c>
      <c r="L97" s="3">
        <v>37</v>
      </c>
      <c r="M97" s="3">
        <v>18.600000000000001</v>
      </c>
      <c r="N97" s="3">
        <v>19.7</v>
      </c>
      <c r="O97" s="3">
        <v>74.02</v>
      </c>
      <c r="P97" s="3">
        <v>24.643567139999998</v>
      </c>
      <c r="Q97" s="3">
        <v>19.736842404000001</v>
      </c>
      <c r="R97" s="3">
        <v>58.59</v>
      </c>
      <c r="S97" s="3">
        <v>121.2571391</v>
      </c>
      <c r="T97" s="3">
        <v>38.814069609999997</v>
      </c>
      <c r="U97" s="3"/>
      <c r="V97" s="3">
        <v>9</v>
      </c>
      <c r="W97" s="3">
        <v>19.550599999999999</v>
      </c>
      <c r="X97" s="3">
        <v>67.173950039999994</v>
      </c>
      <c r="Y97" s="3"/>
    </row>
    <row r="98" spans="1:25" x14ac:dyDescent="0.3">
      <c r="A98" s="2" t="s">
        <v>133</v>
      </c>
      <c r="B98" s="2" t="s">
        <v>30</v>
      </c>
      <c r="C98" s="2" t="s">
        <v>31</v>
      </c>
      <c r="D98" s="2" t="s">
        <v>54</v>
      </c>
      <c r="E98" s="2">
        <v>1</v>
      </c>
      <c r="F98" s="2">
        <v>4</v>
      </c>
      <c r="G98" s="2">
        <v>14</v>
      </c>
      <c r="H98" s="2">
        <v>2</v>
      </c>
      <c r="I98" s="3">
        <v>33.020000000000003</v>
      </c>
      <c r="J98" s="3">
        <v>12.54</v>
      </c>
      <c r="K98" s="3">
        <v>20</v>
      </c>
      <c r="L98" s="3">
        <v>31.5</v>
      </c>
      <c r="M98" s="3">
        <v>12.78</v>
      </c>
      <c r="N98" s="3">
        <v>19.7</v>
      </c>
      <c r="O98" s="3">
        <v>63</v>
      </c>
      <c r="P98" s="3">
        <v>47.236462660000001</v>
      </c>
      <c r="Q98" s="3">
        <v>17.791180912000002</v>
      </c>
      <c r="R98" s="3">
        <v>57.96</v>
      </c>
      <c r="S98" s="3">
        <v>120.83698219999999</v>
      </c>
      <c r="T98" s="3">
        <v>38.841094220000002</v>
      </c>
      <c r="U98" s="3"/>
      <c r="V98" s="3">
        <v>9</v>
      </c>
      <c r="W98" s="3">
        <v>20.2608</v>
      </c>
      <c r="X98" s="3">
        <v>61.902683420000002</v>
      </c>
      <c r="Y98" s="3"/>
    </row>
    <row r="99" spans="1:25" x14ac:dyDescent="0.3">
      <c r="A99" s="2" t="s">
        <v>134</v>
      </c>
      <c r="B99" s="2" t="s">
        <v>30</v>
      </c>
      <c r="C99" s="2" t="s">
        <v>31</v>
      </c>
      <c r="D99" s="2" t="s">
        <v>54</v>
      </c>
      <c r="E99" s="2">
        <v>1</v>
      </c>
      <c r="F99" s="2">
        <v>4</v>
      </c>
      <c r="G99" s="2">
        <v>14</v>
      </c>
      <c r="H99" s="2">
        <v>3</v>
      </c>
      <c r="I99" s="3">
        <v>37</v>
      </c>
      <c r="J99" s="3">
        <v>14.82</v>
      </c>
      <c r="K99" s="3">
        <v>20</v>
      </c>
      <c r="L99" s="3">
        <v>36</v>
      </c>
      <c r="M99" s="3">
        <v>10.92</v>
      </c>
      <c r="N99" s="3">
        <v>19.7</v>
      </c>
      <c r="O99" s="3">
        <v>65.849999999999994</v>
      </c>
      <c r="P99" s="3">
        <v>45.578618980000002</v>
      </c>
      <c r="Q99" s="3">
        <v>18.400857099</v>
      </c>
      <c r="R99" s="3">
        <v>56.5</v>
      </c>
      <c r="S99" s="3">
        <v>122.3221186</v>
      </c>
      <c r="T99" s="3">
        <v>35.441571639999999</v>
      </c>
      <c r="U99" s="3"/>
      <c r="V99" s="3">
        <v>9</v>
      </c>
      <c r="W99" s="3">
        <v>19.992799999999999</v>
      </c>
      <c r="X99" s="3">
        <v>62.130541620000002</v>
      </c>
      <c r="Y99" s="3"/>
    </row>
    <row r="100" spans="1:25" x14ac:dyDescent="0.3">
      <c r="A100" s="2" t="s">
        <v>135</v>
      </c>
      <c r="B100" s="2" t="s">
        <v>30</v>
      </c>
      <c r="C100" s="2" t="s">
        <v>31</v>
      </c>
      <c r="D100" s="2" t="s">
        <v>54</v>
      </c>
      <c r="E100" s="2">
        <v>1</v>
      </c>
      <c r="F100" s="2">
        <v>4</v>
      </c>
      <c r="G100" s="2">
        <v>14</v>
      </c>
      <c r="H100" s="2">
        <v>4</v>
      </c>
      <c r="I100" s="3">
        <v>38.5</v>
      </c>
      <c r="J100" s="3">
        <v>12.82</v>
      </c>
      <c r="K100" s="3">
        <v>21</v>
      </c>
      <c r="L100" s="3">
        <v>46</v>
      </c>
      <c r="M100" s="3">
        <v>13.3</v>
      </c>
      <c r="N100" s="3">
        <v>18.5</v>
      </c>
      <c r="O100" s="3">
        <v>69.91</v>
      </c>
      <c r="P100" s="3">
        <v>44.699395889999998</v>
      </c>
      <c r="Q100" s="3">
        <v>18.089412834000001</v>
      </c>
      <c r="R100" s="3">
        <v>55.68</v>
      </c>
      <c r="S100" s="3">
        <v>121.61573610000001</v>
      </c>
      <c r="T100" s="3">
        <v>35.252103480000002</v>
      </c>
      <c r="U100" s="3"/>
      <c r="V100" s="3">
        <v>8</v>
      </c>
      <c r="W100" s="3">
        <v>18.103400000000001</v>
      </c>
      <c r="X100" s="3">
        <v>58.042032079999998</v>
      </c>
      <c r="Y100" s="3"/>
    </row>
    <row r="101" spans="1:25" x14ac:dyDescent="0.3">
      <c r="A101" s="2" t="s">
        <v>136</v>
      </c>
      <c r="B101" s="2" t="s">
        <v>30</v>
      </c>
      <c r="C101" s="2" t="s">
        <v>31</v>
      </c>
      <c r="D101" s="2" t="s">
        <v>54</v>
      </c>
      <c r="E101" s="2">
        <v>1</v>
      </c>
      <c r="F101" s="2">
        <v>4</v>
      </c>
      <c r="G101" s="2">
        <v>14</v>
      </c>
      <c r="H101" s="2">
        <v>5</v>
      </c>
      <c r="I101" s="3">
        <v>35.880000000000003</v>
      </c>
      <c r="J101" s="3">
        <v>11.38</v>
      </c>
      <c r="K101" s="3">
        <v>19</v>
      </c>
      <c r="L101" s="3">
        <v>39</v>
      </c>
      <c r="M101" s="3">
        <v>10.26</v>
      </c>
      <c r="N101" s="3">
        <v>17.600000000000001</v>
      </c>
      <c r="O101" s="3">
        <v>62.03</v>
      </c>
      <c r="P101" s="3">
        <v>47.618767130000002</v>
      </c>
      <c r="Q101" s="3">
        <v>17.892483766000002</v>
      </c>
      <c r="R101" s="3">
        <v>58.02</v>
      </c>
      <c r="S101" s="3">
        <v>116.42707900000001</v>
      </c>
      <c r="T101" s="3">
        <v>40.938050760000003</v>
      </c>
      <c r="U101" s="3"/>
      <c r="V101" s="3">
        <v>9</v>
      </c>
      <c r="W101" s="3">
        <v>20.3278</v>
      </c>
      <c r="X101" s="3">
        <v>63.68609833</v>
      </c>
      <c r="Y101" s="3"/>
    </row>
    <row r="102" spans="1:25" x14ac:dyDescent="0.3">
      <c r="A102" s="2" t="s">
        <v>137</v>
      </c>
      <c r="B102" s="2" t="s">
        <v>30</v>
      </c>
      <c r="C102" s="2" t="s">
        <v>31</v>
      </c>
      <c r="D102" s="2" t="s">
        <v>61</v>
      </c>
      <c r="E102" s="2">
        <v>1</v>
      </c>
      <c r="F102" s="2">
        <v>4</v>
      </c>
      <c r="G102" s="2">
        <v>14</v>
      </c>
      <c r="H102" s="2">
        <v>1</v>
      </c>
      <c r="I102" s="3">
        <v>37.119999999999997</v>
      </c>
      <c r="J102" s="3">
        <v>15.77</v>
      </c>
      <c r="K102" s="3">
        <v>20</v>
      </c>
      <c r="L102" s="3">
        <v>32</v>
      </c>
      <c r="M102" s="3">
        <v>12.3</v>
      </c>
      <c r="N102" s="3">
        <v>26.5</v>
      </c>
      <c r="O102" s="3">
        <v>80.290000000000006</v>
      </c>
      <c r="P102" s="3">
        <v>91.272031510000005</v>
      </c>
      <c r="Q102" s="3">
        <v>16.213997039999999</v>
      </c>
      <c r="R102" s="3">
        <v>55.15</v>
      </c>
      <c r="S102" s="3">
        <v>115.9388684</v>
      </c>
      <c r="T102" s="3">
        <v>39.710464620000003</v>
      </c>
      <c r="U102" s="3"/>
      <c r="V102" s="3">
        <v>8</v>
      </c>
      <c r="W102" s="3">
        <v>19.148599999999998</v>
      </c>
      <c r="X102" s="3">
        <v>67.651145690000007</v>
      </c>
      <c r="Y102" s="3">
        <v>0.52012508328401141</v>
      </c>
    </row>
    <row r="103" spans="1:25" x14ac:dyDescent="0.3">
      <c r="A103" s="2" t="s">
        <v>138</v>
      </c>
      <c r="B103" s="2" t="s">
        <v>30</v>
      </c>
      <c r="C103" s="2" t="s">
        <v>31</v>
      </c>
      <c r="D103" s="2" t="s">
        <v>61</v>
      </c>
      <c r="E103" s="2">
        <v>1</v>
      </c>
      <c r="F103" s="2">
        <v>4</v>
      </c>
      <c r="G103" s="2">
        <v>14</v>
      </c>
      <c r="H103" s="2">
        <v>2</v>
      </c>
      <c r="I103" s="3">
        <v>30.11</v>
      </c>
      <c r="J103" s="3">
        <v>15.6</v>
      </c>
      <c r="K103" s="3">
        <v>20</v>
      </c>
      <c r="L103" s="3">
        <v>39</v>
      </c>
      <c r="M103" s="3">
        <v>15.63</v>
      </c>
      <c r="N103" s="3">
        <v>19.8</v>
      </c>
      <c r="O103" s="3">
        <v>80.05</v>
      </c>
      <c r="P103" s="3">
        <v>98.071119100000004</v>
      </c>
      <c r="Q103" s="3">
        <v>15.17027686</v>
      </c>
      <c r="R103" s="3">
        <v>54.46</v>
      </c>
      <c r="S103" s="3">
        <v>117.26019839999999</v>
      </c>
      <c r="T103" s="3">
        <v>42.005394889999998</v>
      </c>
      <c r="U103" s="3"/>
      <c r="V103" s="3">
        <v>8</v>
      </c>
      <c r="W103" s="3">
        <v>20.247399999999999</v>
      </c>
      <c r="X103" s="3">
        <v>55.485344040000001</v>
      </c>
      <c r="Y103" s="3">
        <v>0.1146038319100362</v>
      </c>
    </row>
    <row r="104" spans="1:25" x14ac:dyDescent="0.3">
      <c r="A104" s="2" t="s">
        <v>139</v>
      </c>
      <c r="B104" s="2" t="s">
        <v>30</v>
      </c>
      <c r="C104" s="2" t="s">
        <v>31</v>
      </c>
      <c r="D104" s="2" t="s">
        <v>61</v>
      </c>
      <c r="E104" s="2">
        <v>1</v>
      </c>
      <c r="F104" s="2">
        <v>4</v>
      </c>
      <c r="G104" s="2">
        <v>14</v>
      </c>
      <c r="H104" s="2">
        <v>3</v>
      </c>
      <c r="I104" s="3">
        <v>31.19</v>
      </c>
      <c r="J104" s="3">
        <v>14.55</v>
      </c>
      <c r="K104" s="3">
        <v>19</v>
      </c>
      <c r="L104" s="3">
        <v>27</v>
      </c>
      <c r="M104" s="3">
        <v>19.72</v>
      </c>
      <c r="N104" s="3">
        <v>27.5</v>
      </c>
      <c r="O104" s="3">
        <v>68.42</v>
      </c>
      <c r="P104" s="3">
        <v>84.985035999999994</v>
      </c>
      <c r="Q104" s="3">
        <v>18.18962616</v>
      </c>
      <c r="R104" s="3">
        <v>53.49</v>
      </c>
      <c r="S104" s="3">
        <v>116.5380299</v>
      </c>
      <c r="T104" s="3">
        <v>38.317265040000002</v>
      </c>
      <c r="U104" s="3"/>
      <c r="V104" s="3">
        <v>11.5</v>
      </c>
      <c r="W104" s="3">
        <v>18.760000000000002</v>
      </c>
      <c r="X104" s="3">
        <v>60.340649409999997</v>
      </c>
      <c r="Y104" s="3">
        <v>3.6731997407063011E-2</v>
      </c>
    </row>
    <row r="105" spans="1:25" x14ac:dyDescent="0.3">
      <c r="A105" s="2" t="s">
        <v>140</v>
      </c>
      <c r="B105" s="2" t="s">
        <v>30</v>
      </c>
      <c r="C105" s="2" t="s">
        <v>31</v>
      </c>
      <c r="D105" s="2" t="s">
        <v>61</v>
      </c>
      <c r="E105" s="2">
        <v>1</v>
      </c>
      <c r="F105" s="2">
        <v>4</v>
      </c>
      <c r="G105" s="2">
        <v>14</v>
      </c>
      <c r="H105" s="2">
        <v>4</v>
      </c>
      <c r="I105" s="3">
        <v>30.88</v>
      </c>
      <c r="J105" s="3">
        <v>14.62</v>
      </c>
      <c r="K105" s="3">
        <v>18</v>
      </c>
      <c r="L105" s="3">
        <v>30</v>
      </c>
      <c r="M105" s="3">
        <v>12.03</v>
      </c>
      <c r="N105" s="3">
        <v>19.2</v>
      </c>
      <c r="O105" s="3">
        <v>77.290000000000006</v>
      </c>
      <c r="P105" s="3">
        <v>98.891268650000001</v>
      </c>
      <c r="Q105" s="3">
        <v>14.686490389999999</v>
      </c>
      <c r="R105" s="3">
        <v>52.19</v>
      </c>
      <c r="S105" s="3">
        <v>114.3159392</v>
      </c>
      <c r="T105" s="3">
        <v>40.459269640000002</v>
      </c>
      <c r="U105" s="3"/>
      <c r="V105" s="3">
        <v>11.5</v>
      </c>
      <c r="W105" s="3">
        <v>20.3278</v>
      </c>
      <c r="X105" s="3">
        <v>61.426596369999999</v>
      </c>
      <c r="Y105" s="3">
        <v>7.9341114399255952E-2</v>
      </c>
    </row>
    <row r="106" spans="1:25" x14ac:dyDescent="0.3">
      <c r="A106" s="2" t="s">
        <v>141</v>
      </c>
      <c r="B106" s="2" t="s">
        <v>30</v>
      </c>
      <c r="C106" s="2" t="s">
        <v>31</v>
      </c>
      <c r="D106" s="2" t="s">
        <v>61</v>
      </c>
      <c r="E106" s="2">
        <v>1</v>
      </c>
      <c r="F106" s="2">
        <v>4</v>
      </c>
      <c r="G106" s="2">
        <v>14</v>
      </c>
      <c r="H106" s="2">
        <v>5</v>
      </c>
      <c r="I106" s="3">
        <v>40.68</v>
      </c>
      <c r="J106" s="3">
        <v>14</v>
      </c>
      <c r="K106" s="3">
        <v>18</v>
      </c>
      <c r="L106" s="3">
        <v>36</v>
      </c>
      <c r="M106" s="3">
        <v>12.06</v>
      </c>
      <c r="N106" s="3">
        <v>28.6</v>
      </c>
      <c r="O106" s="3">
        <v>77.53</v>
      </c>
      <c r="P106" s="3">
        <v>99.125172480000003</v>
      </c>
      <c r="Q106" s="3">
        <v>14.817536909999999</v>
      </c>
      <c r="R106" s="3">
        <v>55.78</v>
      </c>
      <c r="S106" s="3">
        <v>119.4963223</v>
      </c>
      <c r="T106" s="3">
        <v>39.786995359999999</v>
      </c>
      <c r="U106" s="3"/>
      <c r="V106" s="3">
        <v>10</v>
      </c>
      <c r="W106" s="3">
        <v>20.823599999999999</v>
      </c>
      <c r="X106" s="3">
        <v>63.071030970000002</v>
      </c>
      <c r="Y106" s="3">
        <v>2.1569028877427359</v>
      </c>
    </row>
    <row r="107" spans="1:25" x14ac:dyDescent="0.3">
      <c r="A107" s="2" t="s">
        <v>142</v>
      </c>
      <c r="B107" s="2" t="s">
        <v>30</v>
      </c>
      <c r="C107" s="2" t="s">
        <v>143</v>
      </c>
      <c r="D107" s="2" t="s">
        <v>144</v>
      </c>
      <c r="E107" s="2">
        <v>1</v>
      </c>
      <c r="F107" s="2">
        <v>1</v>
      </c>
      <c r="G107" s="2">
        <v>2</v>
      </c>
      <c r="H107" s="2">
        <v>1</v>
      </c>
      <c r="I107" s="3">
        <v>54.31</v>
      </c>
      <c r="J107" s="3">
        <v>10.69</v>
      </c>
      <c r="K107" s="3">
        <v>25</v>
      </c>
      <c r="L107" s="3">
        <v>52</v>
      </c>
      <c r="M107" s="3">
        <v>6.86</v>
      </c>
      <c r="N107" s="3">
        <v>39.1</v>
      </c>
      <c r="O107" s="3">
        <v>71.25</v>
      </c>
      <c r="P107" s="3">
        <v>103.5376322</v>
      </c>
      <c r="Q107" s="3">
        <v>15.336107719999999</v>
      </c>
      <c r="R107" s="3">
        <v>46.75</v>
      </c>
      <c r="S107" s="3">
        <v>130.16249500000001</v>
      </c>
      <c r="T107" s="3">
        <v>20.125227949999999</v>
      </c>
      <c r="U107" s="3"/>
      <c r="V107" s="3">
        <v>8</v>
      </c>
      <c r="W107" s="3">
        <v>11.014799999999999</v>
      </c>
      <c r="X107" s="3">
        <v>69.954559410000002</v>
      </c>
      <c r="Y107" s="3">
        <v>0.27916318029367798</v>
      </c>
    </row>
    <row r="108" spans="1:25" x14ac:dyDescent="0.3">
      <c r="A108" s="2" t="s">
        <v>145</v>
      </c>
      <c r="B108" s="2" t="s">
        <v>30</v>
      </c>
      <c r="C108" s="2" t="s">
        <v>143</v>
      </c>
      <c r="D108" s="2" t="s">
        <v>144</v>
      </c>
      <c r="E108" s="2">
        <v>1</v>
      </c>
      <c r="F108" s="2">
        <v>1</v>
      </c>
      <c r="G108" s="2">
        <v>2</v>
      </c>
      <c r="H108" s="2">
        <v>2</v>
      </c>
      <c r="I108" s="3">
        <v>50.53</v>
      </c>
      <c r="J108" s="3">
        <v>11.47</v>
      </c>
      <c r="K108" s="3">
        <v>26</v>
      </c>
      <c r="L108" s="3">
        <v>47</v>
      </c>
      <c r="M108" s="3">
        <v>8.34</v>
      </c>
      <c r="N108" s="3">
        <v>40.520000000000003</v>
      </c>
      <c r="O108" s="3">
        <v>76.59</v>
      </c>
      <c r="P108" s="3">
        <v>103.08568560000001</v>
      </c>
      <c r="Q108" s="3">
        <v>17.401899319999998</v>
      </c>
      <c r="R108" s="3">
        <v>45.28</v>
      </c>
      <c r="S108" s="3">
        <v>125.888187</v>
      </c>
      <c r="T108" s="3">
        <v>23.353425869999999</v>
      </c>
      <c r="U108" s="3"/>
      <c r="V108" s="3">
        <v>8.5</v>
      </c>
      <c r="W108" s="3">
        <v>10.8004</v>
      </c>
      <c r="X108" s="3">
        <v>68.390632929999995</v>
      </c>
      <c r="Y108" s="3">
        <v>0.31295661790817603</v>
      </c>
    </row>
    <row r="109" spans="1:25" x14ac:dyDescent="0.3">
      <c r="A109" s="2" t="s">
        <v>146</v>
      </c>
      <c r="B109" s="2" t="s">
        <v>30</v>
      </c>
      <c r="C109" s="2" t="s">
        <v>143</v>
      </c>
      <c r="D109" s="2" t="s">
        <v>144</v>
      </c>
      <c r="E109" s="2">
        <v>1</v>
      </c>
      <c r="F109" s="2">
        <v>1</v>
      </c>
      <c r="G109" s="2">
        <v>2</v>
      </c>
      <c r="H109" s="2">
        <v>3</v>
      </c>
      <c r="I109" s="3">
        <v>53.57</v>
      </c>
      <c r="J109" s="3">
        <v>9.2200000000000006</v>
      </c>
      <c r="K109" s="3">
        <v>24</v>
      </c>
      <c r="L109" s="3">
        <v>51</v>
      </c>
      <c r="M109" s="3">
        <v>10.16</v>
      </c>
      <c r="N109" s="3">
        <v>43.7</v>
      </c>
      <c r="O109" s="3">
        <v>76.83</v>
      </c>
      <c r="P109" s="3">
        <v>103.8664869</v>
      </c>
      <c r="Q109" s="3">
        <v>13.93615801</v>
      </c>
      <c r="R109" s="3">
        <v>47.88</v>
      </c>
      <c r="S109" s="3">
        <v>123.5386914</v>
      </c>
      <c r="T109" s="3">
        <v>28.397975280000001</v>
      </c>
      <c r="U109" s="3"/>
      <c r="V109" s="3">
        <v>7</v>
      </c>
      <c r="W109" s="3">
        <v>10.4252</v>
      </c>
      <c r="X109" s="3">
        <v>72.894221340000001</v>
      </c>
      <c r="Y109" s="3">
        <v>1.763135875539024E-2</v>
      </c>
    </row>
    <row r="110" spans="1:25" x14ac:dyDescent="0.3">
      <c r="A110" s="2" t="s">
        <v>147</v>
      </c>
      <c r="B110" s="2" t="s">
        <v>30</v>
      </c>
      <c r="C110" s="2" t="s">
        <v>143</v>
      </c>
      <c r="D110" s="2" t="s">
        <v>144</v>
      </c>
      <c r="E110" s="2">
        <v>1</v>
      </c>
      <c r="F110" s="2">
        <v>1</v>
      </c>
      <c r="G110" s="2">
        <v>2</v>
      </c>
      <c r="H110" s="2">
        <v>4</v>
      </c>
      <c r="I110" s="3">
        <v>36.28</v>
      </c>
      <c r="J110" s="3">
        <v>9.6199999999999992</v>
      </c>
      <c r="K110" s="3">
        <v>28</v>
      </c>
      <c r="L110" s="3">
        <v>51</v>
      </c>
      <c r="M110" s="3">
        <v>12.27</v>
      </c>
      <c r="N110" s="3">
        <v>48.1</v>
      </c>
      <c r="O110" s="3">
        <v>74.64</v>
      </c>
      <c r="P110" s="3">
        <v>106.4915257</v>
      </c>
      <c r="Q110" s="3">
        <v>14.54851882</v>
      </c>
      <c r="R110" s="3">
        <v>44.7</v>
      </c>
      <c r="S110" s="3">
        <v>123.683378</v>
      </c>
      <c r="T110" s="3">
        <v>24.828380939999999</v>
      </c>
      <c r="U110" s="3"/>
      <c r="V110" s="3">
        <v>7</v>
      </c>
      <c r="W110" s="3">
        <v>9.0584000000000007</v>
      </c>
      <c r="X110" s="3">
        <v>76.557150579999998</v>
      </c>
      <c r="Y110" s="3">
        <v>5.8771195851303748E-3</v>
      </c>
    </row>
    <row r="111" spans="1:25" x14ac:dyDescent="0.3">
      <c r="A111" s="2" t="s">
        <v>148</v>
      </c>
      <c r="B111" s="2" t="s">
        <v>30</v>
      </c>
      <c r="C111" s="2" t="s">
        <v>143</v>
      </c>
      <c r="D111" s="2" t="s">
        <v>144</v>
      </c>
      <c r="E111" s="2">
        <v>1</v>
      </c>
      <c r="F111" s="2">
        <v>1</v>
      </c>
      <c r="G111" s="2">
        <v>2</v>
      </c>
      <c r="H111" s="2">
        <v>5</v>
      </c>
      <c r="I111" s="3">
        <v>38.67</v>
      </c>
      <c r="J111" s="3">
        <v>11.99</v>
      </c>
      <c r="K111" s="3">
        <v>27</v>
      </c>
      <c r="L111" s="3">
        <v>46</v>
      </c>
      <c r="M111" s="3">
        <v>7.38</v>
      </c>
      <c r="N111" s="3">
        <v>45.2</v>
      </c>
      <c r="O111" s="3">
        <v>72.099999999999994</v>
      </c>
      <c r="P111" s="3">
        <v>113.8209329</v>
      </c>
      <c r="Q111" s="3">
        <v>11.11705896</v>
      </c>
      <c r="R111" s="3">
        <v>43.27</v>
      </c>
      <c r="S111" s="3">
        <v>129.9959657</v>
      </c>
      <c r="T111" s="3">
        <v>19.619199779999999</v>
      </c>
      <c r="U111" s="3"/>
      <c r="V111" s="3">
        <v>7</v>
      </c>
      <c r="W111" s="3">
        <v>11.256</v>
      </c>
      <c r="X111" s="3">
        <v>79.759333179999999</v>
      </c>
      <c r="Y111" s="3">
        <v>1.322351906654284E-2</v>
      </c>
    </row>
    <row r="112" spans="1:25" x14ac:dyDescent="0.3">
      <c r="A112" s="2" t="s">
        <v>149</v>
      </c>
      <c r="B112" s="2" t="s">
        <v>150</v>
      </c>
      <c r="C112" s="2" t="s">
        <v>143</v>
      </c>
      <c r="D112" s="2" t="s">
        <v>151</v>
      </c>
      <c r="E112" s="2">
        <v>1</v>
      </c>
      <c r="F112" s="2">
        <v>1</v>
      </c>
      <c r="G112" s="2">
        <v>2</v>
      </c>
      <c r="H112" s="2">
        <v>1</v>
      </c>
      <c r="I112" s="3">
        <v>45.09</v>
      </c>
      <c r="J112" s="3">
        <v>11.35</v>
      </c>
      <c r="K112" s="3">
        <v>24</v>
      </c>
      <c r="L112" s="3">
        <v>46</v>
      </c>
      <c r="M112" s="3">
        <v>9.24</v>
      </c>
      <c r="N112" s="3">
        <v>43</v>
      </c>
      <c r="O112" s="3">
        <v>69.069999999999993</v>
      </c>
      <c r="P112" s="3">
        <v>100.529741</v>
      </c>
      <c r="Q112" s="3">
        <v>11.38167387</v>
      </c>
      <c r="R112" s="3">
        <v>49.1</v>
      </c>
      <c r="S112" s="3">
        <v>116.1269283</v>
      </c>
      <c r="T112" s="3">
        <v>28.090306160000001</v>
      </c>
      <c r="U112" s="3"/>
      <c r="V112" s="3">
        <v>4.5</v>
      </c>
      <c r="W112" s="3">
        <v>10.2242</v>
      </c>
      <c r="X112" s="3">
        <v>80.253542820000007</v>
      </c>
      <c r="Y112" s="3">
        <v>1.545682450889208</v>
      </c>
    </row>
    <row r="113" spans="1:25" x14ac:dyDescent="0.3">
      <c r="A113" s="2" t="s">
        <v>152</v>
      </c>
      <c r="B113" s="2" t="s">
        <v>150</v>
      </c>
      <c r="C113" s="2" t="s">
        <v>143</v>
      </c>
      <c r="D113" s="2" t="s">
        <v>151</v>
      </c>
      <c r="E113" s="2">
        <v>1</v>
      </c>
      <c r="F113" s="2">
        <v>1</v>
      </c>
      <c r="G113" s="2">
        <v>2</v>
      </c>
      <c r="H113" s="2">
        <v>2</v>
      </c>
      <c r="I113" s="3">
        <v>43.31</v>
      </c>
      <c r="J113" s="3">
        <v>13.24</v>
      </c>
      <c r="K113" s="3">
        <v>26</v>
      </c>
      <c r="L113" s="3">
        <v>44</v>
      </c>
      <c r="M113" s="3">
        <v>7.74</v>
      </c>
      <c r="N113" s="3">
        <v>39.4</v>
      </c>
      <c r="O113" s="3">
        <v>76.63</v>
      </c>
      <c r="P113" s="3">
        <v>106.85438499999999</v>
      </c>
      <c r="Q113" s="3">
        <v>8.8292751680000006</v>
      </c>
      <c r="R113" s="3">
        <v>44.21</v>
      </c>
      <c r="S113" s="3">
        <v>123.2789689</v>
      </c>
      <c r="T113" s="3">
        <v>23.983079450000002</v>
      </c>
      <c r="U113" s="3"/>
      <c r="V113" s="3">
        <v>3.5</v>
      </c>
      <c r="W113" s="3">
        <v>12.462</v>
      </c>
      <c r="X113" s="3">
        <v>61.79634532</v>
      </c>
      <c r="Y113" s="3">
        <v>0.34968861531523898</v>
      </c>
    </row>
    <row r="114" spans="1:25" x14ac:dyDescent="0.3">
      <c r="A114" s="2" t="s">
        <v>153</v>
      </c>
      <c r="B114" s="2" t="s">
        <v>150</v>
      </c>
      <c r="C114" s="2" t="s">
        <v>143</v>
      </c>
      <c r="D114" s="2" t="s">
        <v>151</v>
      </c>
      <c r="E114" s="2">
        <v>1</v>
      </c>
      <c r="F114" s="2">
        <v>1</v>
      </c>
      <c r="G114" s="2">
        <v>2</v>
      </c>
      <c r="H114" s="2">
        <v>3</v>
      </c>
      <c r="I114" s="3">
        <v>53.27</v>
      </c>
      <c r="J114" s="3">
        <v>11.75</v>
      </c>
      <c r="K114" s="3">
        <v>26</v>
      </c>
      <c r="L114" s="3">
        <v>42</v>
      </c>
      <c r="M114" s="3">
        <v>7.39</v>
      </c>
      <c r="N114" s="3"/>
      <c r="O114" s="3">
        <v>73.02</v>
      </c>
      <c r="P114" s="3">
        <v>104.3742232</v>
      </c>
      <c r="Q114" s="3">
        <v>8.2172501479999998</v>
      </c>
      <c r="R114" s="3">
        <v>43.79</v>
      </c>
      <c r="S114" s="3">
        <v>120.2061078</v>
      </c>
      <c r="T114" s="3">
        <v>30.489967199999999</v>
      </c>
      <c r="U114" s="3"/>
      <c r="V114" s="3">
        <v>4.5</v>
      </c>
      <c r="W114" s="3">
        <v>13.694800000000001</v>
      </c>
      <c r="X114" s="3">
        <v>48.210346360000003</v>
      </c>
      <c r="Y114" s="3">
        <v>0.58771195851300706</v>
      </c>
    </row>
    <row r="115" spans="1:25" x14ac:dyDescent="0.3">
      <c r="A115" s="2" t="s">
        <v>154</v>
      </c>
      <c r="B115" s="2" t="s">
        <v>150</v>
      </c>
      <c r="C115" s="2" t="s">
        <v>143</v>
      </c>
      <c r="D115" s="2" t="s">
        <v>151</v>
      </c>
      <c r="E115" s="2">
        <v>1</v>
      </c>
      <c r="F115" s="2">
        <v>1</v>
      </c>
      <c r="G115" s="2">
        <v>2</v>
      </c>
      <c r="H115" s="2">
        <v>4</v>
      </c>
      <c r="I115" s="3">
        <v>63.68</v>
      </c>
      <c r="J115" s="3">
        <v>13.07</v>
      </c>
      <c r="K115" s="3">
        <v>28</v>
      </c>
      <c r="L115" s="3">
        <v>42</v>
      </c>
      <c r="M115" s="3">
        <v>14.17</v>
      </c>
      <c r="N115" s="3">
        <v>43.3</v>
      </c>
      <c r="O115" s="3">
        <v>72.260000000000005</v>
      </c>
      <c r="P115" s="3">
        <v>100.0865196</v>
      </c>
      <c r="Q115" s="3">
        <v>12.21885838</v>
      </c>
      <c r="R115" s="3">
        <v>39</v>
      </c>
      <c r="S115" s="3">
        <v>119.388548</v>
      </c>
      <c r="T115" s="3">
        <v>31.137040639999999</v>
      </c>
      <c r="U115" s="3"/>
      <c r="V115" s="3">
        <v>4.5</v>
      </c>
      <c r="W115" s="3">
        <v>11.8992</v>
      </c>
      <c r="X115" s="3">
        <v>67.636436020000005</v>
      </c>
      <c r="Y115" s="3">
        <v>1.2077480747442291</v>
      </c>
    </row>
    <row r="116" spans="1:25" x14ac:dyDescent="0.3">
      <c r="A116" s="2" t="s">
        <v>155</v>
      </c>
      <c r="B116" s="2" t="s">
        <v>150</v>
      </c>
      <c r="C116" s="2" t="s">
        <v>143</v>
      </c>
      <c r="D116" s="2" t="s">
        <v>151</v>
      </c>
      <c r="E116" s="2">
        <v>1</v>
      </c>
      <c r="F116" s="2">
        <v>1</v>
      </c>
      <c r="G116" s="2">
        <v>2</v>
      </c>
      <c r="H116" s="2">
        <v>5</v>
      </c>
      <c r="I116" s="3">
        <v>51.29</v>
      </c>
      <c r="J116" s="3">
        <v>10.36</v>
      </c>
      <c r="K116" s="3">
        <v>29</v>
      </c>
      <c r="L116" s="3">
        <v>42</v>
      </c>
      <c r="M116" s="3">
        <v>9.7799999999999994</v>
      </c>
      <c r="N116" s="3">
        <v>44.4</v>
      </c>
      <c r="O116" s="3">
        <v>78.05</v>
      </c>
      <c r="P116" s="3">
        <v>102.4814401</v>
      </c>
      <c r="Q116" s="3">
        <v>10.54933173</v>
      </c>
      <c r="R116" s="3">
        <v>43.4</v>
      </c>
      <c r="S116" s="3">
        <v>124.5327631</v>
      </c>
      <c r="T116" s="3">
        <v>25.261007500000002</v>
      </c>
      <c r="U116" s="3"/>
      <c r="V116" s="3">
        <v>5</v>
      </c>
      <c r="W116" s="3">
        <v>11.8992</v>
      </c>
      <c r="X116" s="3">
        <v>66.761459610000003</v>
      </c>
      <c r="Y116" s="3">
        <v>1.2371336726698789</v>
      </c>
    </row>
    <row r="117" spans="1:25" x14ac:dyDescent="0.3">
      <c r="A117" s="2" t="s">
        <v>156</v>
      </c>
      <c r="B117" s="2" t="s">
        <v>150</v>
      </c>
      <c r="C117" s="2" t="s">
        <v>143</v>
      </c>
      <c r="D117" s="2" t="s">
        <v>157</v>
      </c>
      <c r="E117" s="2">
        <v>1</v>
      </c>
      <c r="F117" s="2">
        <v>1</v>
      </c>
      <c r="G117" s="2">
        <v>2</v>
      </c>
      <c r="H117" s="2">
        <v>1</v>
      </c>
      <c r="I117" s="3">
        <v>68.09</v>
      </c>
      <c r="J117" s="3">
        <v>15.1</v>
      </c>
      <c r="K117" s="3">
        <v>25</v>
      </c>
      <c r="L117" s="3">
        <v>36</v>
      </c>
      <c r="M117" s="3">
        <v>9.58</v>
      </c>
      <c r="N117" s="3">
        <v>40.299999999999997</v>
      </c>
      <c r="O117" s="3">
        <v>71.91</v>
      </c>
      <c r="P117" s="3">
        <v>99.880888499999998</v>
      </c>
      <c r="Q117" s="3">
        <v>12.82017551</v>
      </c>
      <c r="R117" s="3">
        <v>48.81</v>
      </c>
      <c r="S117" s="3">
        <v>123.27005509999999</v>
      </c>
      <c r="T117" s="3">
        <v>32.938981470000002</v>
      </c>
      <c r="U117" s="3"/>
      <c r="V117" s="3">
        <v>5</v>
      </c>
      <c r="W117" s="3">
        <v>13.855600000000001</v>
      </c>
      <c r="X117" s="3">
        <v>36.565957689999998</v>
      </c>
      <c r="Y117" s="3">
        <v>1.2753349499732261</v>
      </c>
    </row>
    <row r="118" spans="1:25" x14ac:dyDescent="0.3">
      <c r="A118" s="2" t="s">
        <v>158</v>
      </c>
      <c r="B118" s="2" t="s">
        <v>150</v>
      </c>
      <c r="C118" s="2" t="s">
        <v>143</v>
      </c>
      <c r="D118" s="2" t="s">
        <v>157</v>
      </c>
      <c r="E118" s="2">
        <v>1</v>
      </c>
      <c r="F118" s="2">
        <v>1</v>
      </c>
      <c r="G118" s="2">
        <v>2</v>
      </c>
      <c r="H118" s="2">
        <v>2</v>
      </c>
      <c r="I118" s="3">
        <v>63.11</v>
      </c>
      <c r="J118" s="3">
        <v>15.74</v>
      </c>
      <c r="K118" s="3">
        <v>26</v>
      </c>
      <c r="L118" s="3">
        <v>37</v>
      </c>
      <c r="M118" s="3">
        <v>10.62</v>
      </c>
      <c r="N118" s="3">
        <v>40.799999999999997</v>
      </c>
      <c r="O118" s="3">
        <v>70.34</v>
      </c>
      <c r="P118" s="3">
        <v>104.5600311</v>
      </c>
      <c r="Q118" s="3">
        <v>11.93325186</v>
      </c>
      <c r="R118" s="3">
        <v>47.85</v>
      </c>
      <c r="S118" s="3">
        <v>122.6594109</v>
      </c>
      <c r="T118" s="3">
        <v>30.538410240000001</v>
      </c>
      <c r="U118" s="3"/>
      <c r="V118" s="3">
        <v>3.5</v>
      </c>
      <c r="W118" s="3">
        <v>12.033200000000001</v>
      </c>
      <c r="X118" s="3">
        <v>35.175591969999999</v>
      </c>
      <c r="Y118" s="3">
        <v>0.93446201403568097</v>
      </c>
    </row>
    <row r="119" spans="1:25" x14ac:dyDescent="0.3">
      <c r="A119" s="2" t="s">
        <v>159</v>
      </c>
      <c r="B119" s="2" t="s">
        <v>150</v>
      </c>
      <c r="C119" s="2" t="s">
        <v>143</v>
      </c>
      <c r="D119" s="2" t="s">
        <v>157</v>
      </c>
      <c r="E119" s="2">
        <v>1</v>
      </c>
      <c r="F119" s="2">
        <v>1</v>
      </c>
      <c r="G119" s="2">
        <v>2</v>
      </c>
      <c r="H119" s="2">
        <v>3</v>
      </c>
      <c r="I119" s="3">
        <v>56.93</v>
      </c>
      <c r="J119" s="3">
        <v>14.84</v>
      </c>
      <c r="K119" s="3">
        <v>27</v>
      </c>
      <c r="L119" s="3">
        <v>33</v>
      </c>
      <c r="M119" s="3">
        <v>7.06</v>
      </c>
      <c r="N119" s="3">
        <v>40.9</v>
      </c>
      <c r="O119" s="3">
        <v>67.19</v>
      </c>
      <c r="P119" s="3">
        <v>95.319491069999998</v>
      </c>
      <c r="Q119" s="3">
        <v>12.8352834</v>
      </c>
      <c r="R119" s="3">
        <v>42.63</v>
      </c>
      <c r="S119" s="3">
        <v>120.1356457</v>
      </c>
      <c r="T119" s="3">
        <v>26.351793109999999</v>
      </c>
      <c r="U119" s="3"/>
      <c r="V119" s="3">
        <v>4.5</v>
      </c>
      <c r="W119" s="3">
        <v>11.617800000000001</v>
      </c>
      <c r="X119" s="3">
        <v>41.81180827</v>
      </c>
      <c r="Y119" s="3"/>
    </row>
    <row r="120" spans="1:25" x14ac:dyDescent="0.3">
      <c r="A120" s="2" t="s">
        <v>160</v>
      </c>
      <c r="B120" s="2" t="s">
        <v>150</v>
      </c>
      <c r="C120" s="2" t="s">
        <v>143</v>
      </c>
      <c r="D120" s="2" t="s">
        <v>157</v>
      </c>
      <c r="E120" s="2">
        <v>1</v>
      </c>
      <c r="F120" s="2">
        <v>1</v>
      </c>
      <c r="G120" s="2">
        <v>2</v>
      </c>
      <c r="H120" s="2">
        <v>4</v>
      </c>
      <c r="I120" s="3">
        <v>59.25</v>
      </c>
      <c r="J120" s="3">
        <v>16.829999999999998</v>
      </c>
      <c r="K120" s="3">
        <v>26</v>
      </c>
      <c r="L120" s="3">
        <v>38</v>
      </c>
      <c r="M120" s="3">
        <v>7.36</v>
      </c>
      <c r="N120" s="3">
        <v>33.6</v>
      </c>
      <c r="O120" s="3">
        <v>62.5</v>
      </c>
      <c r="P120" s="3">
        <v>106.6989947</v>
      </c>
      <c r="Q120" s="3">
        <v>12.945980069999999</v>
      </c>
      <c r="R120" s="3">
        <v>43.21</v>
      </c>
      <c r="S120" s="3">
        <v>117.9220521</v>
      </c>
      <c r="T120" s="3">
        <v>32.096580809999999</v>
      </c>
      <c r="U120" s="3"/>
      <c r="V120" s="3">
        <v>3.5</v>
      </c>
      <c r="W120" s="3">
        <v>13.6144</v>
      </c>
      <c r="X120" s="3">
        <v>45.293862230000002</v>
      </c>
      <c r="Y120" s="3">
        <v>2.5300999813984948</v>
      </c>
    </row>
    <row r="121" spans="1:25" x14ac:dyDescent="0.3">
      <c r="A121" s="2" t="s">
        <v>161</v>
      </c>
      <c r="B121" s="2" t="s">
        <v>150</v>
      </c>
      <c r="C121" s="2" t="s">
        <v>143</v>
      </c>
      <c r="D121" s="2" t="s">
        <v>157</v>
      </c>
      <c r="E121" s="2">
        <v>1</v>
      </c>
      <c r="F121" s="2">
        <v>1</v>
      </c>
      <c r="G121" s="2">
        <v>2</v>
      </c>
      <c r="H121" s="2">
        <v>5</v>
      </c>
      <c r="I121" s="3">
        <v>59.34</v>
      </c>
      <c r="J121" s="3">
        <v>14.31</v>
      </c>
      <c r="K121" s="3">
        <v>27</v>
      </c>
      <c r="L121" s="3">
        <v>41</v>
      </c>
      <c r="M121" s="3">
        <v>10.94</v>
      </c>
      <c r="N121" s="3">
        <v>35</v>
      </c>
      <c r="O121" s="3">
        <v>71.760000000000005</v>
      </c>
      <c r="P121" s="3">
        <v>104.6447101</v>
      </c>
      <c r="Q121" s="3">
        <v>13.01277065</v>
      </c>
      <c r="R121" s="3">
        <v>48.17</v>
      </c>
      <c r="S121" s="3">
        <v>113.8880881</v>
      </c>
      <c r="T121" s="3">
        <v>28.25</v>
      </c>
      <c r="U121" s="3"/>
      <c r="V121" s="3">
        <v>3.5</v>
      </c>
      <c r="W121" s="3">
        <v>11.872400000000001</v>
      </c>
      <c r="X121" s="3">
        <v>37.680984809999998</v>
      </c>
      <c r="Y121" s="3">
        <v>1.154853998478059</v>
      </c>
    </row>
    <row r="122" spans="1:25" x14ac:dyDescent="0.3">
      <c r="A122" s="2" t="s">
        <v>162</v>
      </c>
      <c r="B122" s="2" t="s">
        <v>150</v>
      </c>
      <c r="C122" s="2" t="s">
        <v>143</v>
      </c>
      <c r="D122" s="2" t="s">
        <v>163</v>
      </c>
      <c r="E122" s="2">
        <v>1</v>
      </c>
      <c r="F122" s="2">
        <v>1</v>
      </c>
      <c r="G122" s="2">
        <v>2</v>
      </c>
      <c r="H122" s="2">
        <v>1</v>
      </c>
      <c r="I122" s="3">
        <v>52.73</v>
      </c>
      <c r="J122" s="3">
        <v>11.3</v>
      </c>
      <c r="K122" s="3">
        <v>26</v>
      </c>
      <c r="L122" s="3">
        <v>42</v>
      </c>
      <c r="M122" s="3">
        <v>5.73</v>
      </c>
      <c r="N122" s="3">
        <v>44.4</v>
      </c>
      <c r="O122" s="3">
        <v>67.900000000000006</v>
      </c>
      <c r="P122" s="3">
        <v>100.8213367</v>
      </c>
      <c r="Q122" s="3">
        <v>11.504590390000001</v>
      </c>
      <c r="R122" s="3">
        <v>43.3</v>
      </c>
      <c r="S122" s="3">
        <v>121.6789825</v>
      </c>
      <c r="T122" s="3">
        <v>24.58280903</v>
      </c>
      <c r="U122" s="3"/>
      <c r="V122" s="3">
        <v>3</v>
      </c>
      <c r="W122" s="3">
        <v>9.3666000000000018</v>
      </c>
      <c r="X122" s="3">
        <v>51.94280869</v>
      </c>
      <c r="Y122" s="3">
        <v>1.607392206533075</v>
      </c>
    </row>
    <row r="123" spans="1:25" x14ac:dyDescent="0.3">
      <c r="A123" s="2" t="s">
        <v>164</v>
      </c>
      <c r="B123" s="2" t="s">
        <v>150</v>
      </c>
      <c r="C123" s="2" t="s">
        <v>143</v>
      </c>
      <c r="D123" s="2" t="s">
        <v>163</v>
      </c>
      <c r="E123" s="2">
        <v>1</v>
      </c>
      <c r="F123" s="2">
        <v>1</v>
      </c>
      <c r="G123" s="2">
        <v>2</v>
      </c>
      <c r="H123" s="2">
        <v>2</v>
      </c>
      <c r="I123" s="3">
        <v>54.29</v>
      </c>
      <c r="J123" s="3">
        <v>12.62</v>
      </c>
      <c r="K123" s="3">
        <v>28</v>
      </c>
      <c r="L123" s="3">
        <v>49</v>
      </c>
      <c r="M123" s="3">
        <v>8.11</v>
      </c>
      <c r="N123" s="3">
        <v>42.3</v>
      </c>
      <c r="O123" s="3">
        <v>72.430000000000007</v>
      </c>
      <c r="P123" s="3">
        <v>102.78359140000001</v>
      </c>
      <c r="Q123" s="3">
        <v>12.42806904</v>
      </c>
      <c r="R123" s="3">
        <v>44.4</v>
      </c>
      <c r="S123" s="3">
        <v>122.4358436</v>
      </c>
      <c r="T123" s="3">
        <v>22.55951241</v>
      </c>
      <c r="U123" s="3"/>
      <c r="V123" s="3">
        <v>4</v>
      </c>
      <c r="W123" s="3">
        <v>11.725</v>
      </c>
      <c r="X123" s="3">
        <v>56.144825730000001</v>
      </c>
      <c r="Y123" s="3">
        <v>1.8277841909754511</v>
      </c>
    </row>
    <row r="124" spans="1:25" x14ac:dyDescent="0.3">
      <c r="A124" s="2" t="s">
        <v>165</v>
      </c>
      <c r="B124" s="2" t="s">
        <v>150</v>
      </c>
      <c r="C124" s="2" t="s">
        <v>143</v>
      </c>
      <c r="D124" s="2" t="s">
        <v>163</v>
      </c>
      <c r="E124" s="2">
        <v>1</v>
      </c>
      <c r="F124" s="2">
        <v>1</v>
      </c>
      <c r="G124" s="2">
        <v>2</v>
      </c>
      <c r="H124" s="2">
        <v>3</v>
      </c>
      <c r="I124" s="3">
        <v>54.14</v>
      </c>
      <c r="J124" s="3">
        <v>9.81</v>
      </c>
      <c r="K124" s="3">
        <v>26</v>
      </c>
      <c r="L124" s="3">
        <v>45</v>
      </c>
      <c r="M124" s="3">
        <v>9.8800000000000008</v>
      </c>
      <c r="N124" s="3">
        <v>41.4</v>
      </c>
      <c r="O124" s="3">
        <v>69.13</v>
      </c>
      <c r="P124" s="3">
        <v>105.26251910000001</v>
      </c>
      <c r="Q124" s="3">
        <v>13.14359159</v>
      </c>
      <c r="R124" s="3">
        <v>44.51</v>
      </c>
      <c r="S124" s="3"/>
      <c r="T124" s="3">
        <v>23.267584750000001</v>
      </c>
      <c r="U124" s="3"/>
      <c r="V124" s="3">
        <v>3.5</v>
      </c>
      <c r="W124" s="3">
        <v>11.0952</v>
      </c>
      <c r="X124" s="3">
        <v>67.948396090000003</v>
      </c>
      <c r="Y124" s="3">
        <v>1.748443076576196</v>
      </c>
    </row>
    <row r="125" spans="1:25" x14ac:dyDescent="0.3">
      <c r="A125" s="2" t="s">
        <v>166</v>
      </c>
      <c r="B125" s="2" t="s">
        <v>150</v>
      </c>
      <c r="C125" s="2" t="s">
        <v>143</v>
      </c>
      <c r="D125" s="2" t="s">
        <v>163</v>
      </c>
      <c r="E125" s="2">
        <v>1</v>
      </c>
      <c r="F125" s="2">
        <v>1</v>
      </c>
      <c r="G125" s="2">
        <v>2</v>
      </c>
      <c r="H125" s="2">
        <v>4</v>
      </c>
      <c r="I125" s="3">
        <v>52.26</v>
      </c>
      <c r="J125" s="3">
        <v>9.86</v>
      </c>
      <c r="K125" s="3">
        <v>21</v>
      </c>
      <c r="L125" s="3">
        <v>34</v>
      </c>
      <c r="M125" s="3">
        <v>7.32</v>
      </c>
      <c r="N125" s="3">
        <v>43.9</v>
      </c>
      <c r="O125" s="3">
        <v>79.75</v>
      </c>
      <c r="P125" s="3">
        <v>103.04805500000001</v>
      </c>
      <c r="Q125" s="3">
        <v>12.8005078</v>
      </c>
      <c r="R125" s="3">
        <v>44.02</v>
      </c>
      <c r="S125" s="3">
        <v>115.8569147</v>
      </c>
      <c r="T125" s="3">
        <v>28.95929039</v>
      </c>
      <c r="U125" s="3"/>
      <c r="V125" s="3">
        <v>4.5</v>
      </c>
      <c r="W125" s="3">
        <v>12.6496</v>
      </c>
      <c r="X125" s="3">
        <v>42.143637239999997</v>
      </c>
      <c r="Y125" s="3">
        <v>0.129296630872862</v>
      </c>
    </row>
    <row r="126" spans="1:25" x14ac:dyDescent="0.3">
      <c r="A126" s="2" t="s">
        <v>167</v>
      </c>
      <c r="B126" s="2" t="s">
        <v>150</v>
      </c>
      <c r="C126" s="2" t="s">
        <v>143</v>
      </c>
      <c r="D126" s="2" t="s">
        <v>163</v>
      </c>
      <c r="E126" s="2">
        <v>1</v>
      </c>
      <c r="F126" s="2">
        <v>1</v>
      </c>
      <c r="G126" s="2">
        <v>2</v>
      </c>
      <c r="H126" s="2">
        <v>5</v>
      </c>
      <c r="I126" s="3">
        <v>48.41</v>
      </c>
      <c r="J126" s="3">
        <v>12.9</v>
      </c>
      <c r="K126" s="3">
        <v>24</v>
      </c>
      <c r="L126" s="3">
        <v>44</v>
      </c>
      <c r="M126" s="3">
        <v>10.81</v>
      </c>
      <c r="N126" s="3">
        <v>32.9</v>
      </c>
      <c r="O126" s="3">
        <v>76.099999999999994</v>
      </c>
      <c r="P126" s="3">
        <v>103.36668899999999</v>
      </c>
      <c r="Q126" s="3">
        <v>13.49560299</v>
      </c>
      <c r="R126" s="3">
        <v>39.450000000000003</v>
      </c>
      <c r="S126" s="3">
        <v>123.6636087</v>
      </c>
      <c r="T126" s="3">
        <v>30.361518409999999</v>
      </c>
      <c r="U126" s="3"/>
      <c r="V126" s="3">
        <v>4.5</v>
      </c>
      <c r="W126" s="3">
        <v>9.2593999999999976</v>
      </c>
      <c r="X126" s="3">
        <v>55.057816850000002</v>
      </c>
      <c r="Y126" s="3">
        <v>2.286199518615597</v>
      </c>
    </row>
    <row r="127" spans="1:25" x14ac:dyDescent="0.3">
      <c r="A127" s="2" t="s">
        <v>168</v>
      </c>
      <c r="B127" s="2" t="s">
        <v>150</v>
      </c>
      <c r="C127" s="2" t="s">
        <v>143</v>
      </c>
      <c r="D127" s="2" t="s">
        <v>169</v>
      </c>
      <c r="E127" s="2">
        <v>1</v>
      </c>
      <c r="F127" s="2">
        <v>1</v>
      </c>
      <c r="G127" s="2">
        <v>2</v>
      </c>
      <c r="H127" s="2">
        <v>1</v>
      </c>
      <c r="I127" s="3">
        <v>31.45</v>
      </c>
      <c r="J127" s="3">
        <v>10.11</v>
      </c>
      <c r="K127" s="3">
        <v>24</v>
      </c>
      <c r="L127" s="3">
        <v>45</v>
      </c>
      <c r="M127" s="3">
        <v>9.02</v>
      </c>
      <c r="N127" s="3">
        <v>45.9</v>
      </c>
      <c r="O127" s="3">
        <v>65.61</v>
      </c>
      <c r="P127" s="3">
        <v>99.616197020000001</v>
      </c>
      <c r="Q127" s="3">
        <v>11.61318647</v>
      </c>
      <c r="R127" s="3">
        <v>42.46</v>
      </c>
      <c r="S127" s="3">
        <v>116.34117019999999</v>
      </c>
      <c r="T127" s="3">
        <v>29.79359663</v>
      </c>
      <c r="U127" s="3"/>
      <c r="V127" s="3">
        <v>3.5</v>
      </c>
      <c r="W127" s="3">
        <v>10.277799999999999</v>
      </c>
      <c r="X127" s="3">
        <v>78.457076639999997</v>
      </c>
      <c r="Y127" s="3">
        <v>1.5427438910966429</v>
      </c>
    </row>
    <row r="128" spans="1:25" x14ac:dyDescent="0.3">
      <c r="A128" s="2" t="s">
        <v>170</v>
      </c>
      <c r="B128" s="2" t="s">
        <v>150</v>
      </c>
      <c r="C128" s="2" t="s">
        <v>143</v>
      </c>
      <c r="D128" s="2" t="s">
        <v>169</v>
      </c>
      <c r="E128" s="2">
        <v>1</v>
      </c>
      <c r="F128" s="2">
        <v>1</v>
      </c>
      <c r="G128" s="2">
        <v>2</v>
      </c>
      <c r="H128" s="2">
        <v>2</v>
      </c>
      <c r="I128" s="3">
        <v>44.02</v>
      </c>
      <c r="J128" s="3">
        <v>16.18</v>
      </c>
      <c r="K128" s="3">
        <v>26</v>
      </c>
      <c r="L128" s="3">
        <v>44</v>
      </c>
      <c r="M128" s="3">
        <v>8.82</v>
      </c>
      <c r="N128" s="3">
        <v>41</v>
      </c>
      <c r="O128" s="3">
        <v>61.2</v>
      </c>
      <c r="P128" s="3">
        <v>104.82210860000001</v>
      </c>
      <c r="Q128" s="3">
        <v>11.844129349999999</v>
      </c>
      <c r="R128" s="3">
        <v>41.73</v>
      </c>
      <c r="S128" s="3">
        <v>121.0929862</v>
      </c>
      <c r="T128" s="3">
        <v>25.037142410000001</v>
      </c>
      <c r="U128" s="3"/>
      <c r="V128" s="3">
        <v>4.5</v>
      </c>
      <c r="W128" s="3">
        <v>9.4202000000000012</v>
      </c>
      <c r="X128" s="3">
        <v>83.036283159999996</v>
      </c>
      <c r="Y128" s="3">
        <v>2.12457873002452</v>
      </c>
    </row>
    <row r="129" spans="1:25" x14ac:dyDescent="0.3">
      <c r="A129" s="2" t="s">
        <v>171</v>
      </c>
      <c r="B129" s="2" t="s">
        <v>150</v>
      </c>
      <c r="C129" s="2" t="s">
        <v>143</v>
      </c>
      <c r="D129" s="2" t="s">
        <v>169</v>
      </c>
      <c r="E129" s="2">
        <v>1</v>
      </c>
      <c r="F129" s="2">
        <v>1</v>
      </c>
      <c r="G129" s="2">
        <v>2</v>
      </c>
      <c r="H129" s="2">
        <v>3</v>
      </c>
      <c r="I129" s="3">
        <v>61.37</v>
      </c>
      <c r="J129" s="3">
        <v>10.16</v>
      </c>
      <c r="K129" s="3">
        <v>26</v>
      </c>
      <c r="L129" s="3">
        <v>44</v>
      </c>
      <c r="M129" s="3">
        <v>6.5</v>
      </c>
      <c r="N129" s="3">
        <v>51.7</v>
      </c>
      <c r="O129" s="3">
        <v>59.94</v>
      </c>
      <c r="P129" s="3">
        <v>104.15019169999999</v>
      </c>
      <c r="Q129" s="3">
        <v>9.7353993239999994</v>
      </c>
      <c r="R129" s="3">
        <v>45.17</v>
      </c>
      <c r="S129" s="3">
        <v>118.44963389999999</v>
      </c>
      <c r="T129" s="3">
        <v>27.057645870000002</v>
      </c>
      <c r="U129" s="3"/>
      <c r="V129" s="3">
        <v>4.5</v>
      </c>
      <c r="W129" s="3">
        <v>11.336399999999999</v>
      </c>
      <c r="X129" s="3">
        <v>75.980523099999999</v>
      </c>
      <c r="Y129" s="3">
        <v>1.6602862827992451</v>
      </c>
    </row>
    <row r="130" spans="1:25" x14ac:dyDescent="0.3">
      <c r="A130" s="2" t="s">
        <v>172</v>
      </c>
      <c r="B130" s="2" t="s">
        <v>150</v>
      </c>
      <c r="C130" s="2" t="s">
        <v>143</v>
      </c>
      <c r="D130" s="2" t="s">
        <v>169</v>
      </c>
      <c r="E130" s="2">
        <v>1</v>
      </c>
      <c r="F130" s="2">
        <v>1</v>
      </c>
      <c r="G130" s="2">
        <v>2</v>
      </c>
      <c r="H130" s="2">
        <v>4</v>
      </c>
      <c r="I130" s="3">
        <v>51.3</v>
      </c>
      <c r="J130" s="3">
        <v>7.01</v>
      </c>
      <c r="K130" s="3">
        <v>26</v>
      </c>
      <c r="L130" s="3">
        <v>46</v>
      </c>
      <c r="M130" s="3">
        <v>9.73</v>
      </c>
      <c r="N130" s="3">
        <v>43.5</v>
      </c>
      <c r="O130" s="3">
        <v>63.82</v>
      </c>
      <c r="P130" s="3">
        <v>103.05500619999999</v>
      </c>
      <c r="Q130" s="3">
        <v>12.041233330000001</v>
      </c>
      <c r="R130" s="3">
        <v>42.05</v>
      </c>
      <c r="S130" s="3">
        <v>124.05549019999999</v>
      </c>
      <c r="T130" s="3">
        <v>19.553580230000001</v>
      </c>
      <c r="U130" s="3"/>
      <c r="V130" s="3">
        <v>4</v>
      </c>
      <c r="W130" s="3">
        <v>9.0852000000000022</v>
      </c>
      <c r="X130" s="3">
        <v>73.920686669999995</v>
      </c>
      <c r="Y130" s="3">
        <v>1.0813900036639339</v>
      </c>
    </row>
    <row r="131" spans="1:25" x14ac:dyDescent="0.3">
      <c r="A131" s="2" t="s">
        <v>173</v>
      </c>
      <c r="B131" s="2" t="s">
        <v>150</v>
      </c>
      <c r="C131" s="2" t="s">
        <v>143</v>
      </c>
      <c r="D131" s="2" t="s">
        <v>169</v>
      </c>
      <c r="E131" s="2">
        <v>1</v>
      </c>
      <c r="F131" s="2">
        <v>1</v>
      </c>
      <c r="G131" s="2">
        <v>2</v>
      </c>
      <c r="H131" s="2">
        <v>5</v>
      </c>
      <c r="I131" s="3">
        <v>49.54</v>
      </c>
      <c r="J131" s="3">
        <v>10.09</v>
      </c>
      <c r="K131" s="3">
        <v>26</v>
      </c>
      <c r="L131" s="3">
        <v>36</v>
      </c>
      <c r="M131" s="3">
        <v>7.74</v>
      </c>
      <c r="N131" s="3">
        <v>36.4</v>
      </c>
      <c r="O131" s="3">
        <v>65.290000000000006</v>
      </c>
      <c r="P131" s="3">
        <v>102.9975532</v>
      </c>
      <c r="Q131" s="3">
        <v>13.51630497</v>
      </c>
      <c r="R131" s="3">
        <v>43.23</v>
      </c>
      <c r="S131" s="3">
        <v>125.71267</v>
      </c>
      <c r="T131" s="3">
        <v>23.178725159999999</v>
      </c>
      <c r="U131" s="3"/>
      <c r="V131" s="3">
        <v>4</v>
      </c>
      <c r="W131" s="3">
        <v>9.0852000000000022</v>
      </c>
      <c r="X131" s="3">
        <v>73.602659349999996</v>
      </c>
      <c r="Y131" s="3">
        <v>2.250936801104817</v>
      </c>
    </row>
    <row r="132" spans="1:25" x14ac:dyDescent="0.3">
      <c r="A132" s="2" t="s">
        <v>174</v>
      </c>
      <c r="B132" s="2" t="s">
        <v>30</v>
      </c>
      <c r="C132" s="2" t="s">
        <v>143</v>
      </c>
      <c r="D132" s="2" t="s">
        <v>144</v>
      </c>
      <c r="E132" s="2">
        <v>1</v>
      </c>
      <c r="F132" s="2">
        <v>2</v>
      </c>
      <c r="G132" s="2">
        <v>6</v>
      </c>
      <c r="H132" s="2">
        <v>1</v>
      </c>
      <c r="I132" s="3">
        <v>44.7</v>
      </c>
      <c r="J132" s="3">
        <v>11.4</v>
      </c>
      <c r="K132" s="3">
        <v>24</v>
      </c>
      <c r="L132" s="3">
        <v>27</v>
      </c>
      <c r="M132" s="3">
        <v>8.4499999999999993</v>
      </c>
      <c r="N132" s="3">
        <v>44.1</v>
      </c>
      <c r="O132" s="3">
        <v>71.849999999999994</v>
      </c>
      <c r="P132" s="3">
        <v>105.0121893</v>
      </c>
      <c r="Q132" s="3">
        <v>15.94418076</v>
      </c>
      <c r="R132" s="3">
        <v>48.88</v>
      </c>
      <c r="S132" s="3">
        <v>128.36718519999999</v>
      </c>
      <c r="T132" s="3">
        <v>30.610455730000002</v>
      </c>
      <c r="U132" s="3"/>
      <c r="V132" s="3">
        <v>6</v>
      </c>
      <c r="W132" s="3">
        <v>16.951000000000001</v>
      </c>
      <c r="X132" s="3">
        <v>70.497882200000006</v>
      </c>
      <c r="Y132" s="3"/>
    </row>
    <row r="133" spans="1:25" x14ac:dyDescent="0.3">
      <c r="A133" s="2" t="s">
        <v>175</v>
      </c>
      <c r="B133" s="2" t="s">
        <v>30</v>
      </c>
      <c r="C133" s="2" t="s">
        <v>143</v>
      </c>
      <c r="D133" s="2" t="s">
        <v>144</v>
      </c>
      <c r="E133" s="2">
        <v>1</v>
      </c>
      <c r="F133" s="2">
        <v>2</v>
      </c>
      <c r="G133" s="2">
        <v>6</v>
      </c>
      <c r="H133" s="2">
        <v>2</v>
      </c>
      <c r="I133" s="3">
        <v>40.520000000000003</v>
      </c>
      <c r="J133" s="3">
        <v>12.4</v>
      </c>
      <c r="K133" s="3">
        <v>22</v>
      </c>
      <c r="L133" s="3">
        <v>31</v>
      </c>
      <c r="M133" s="3">
        <v>8.1</v>
      </c>
      <c r="N133" s="3">
        <v>38.9</v>
      </c>
      <c r="O133" s="3">
        <v>69.069999999999993</v>
      </c>
      <c r="P133" s="3">
        <v>111.596237</v>
      </c>
      <c r="Q133" s="3">
        <v>19.346106141</v>
      </c>
      <c r="R133" s="3">
        <v>46.91</v>
      </c>
      <c r="S133" s="3">
        <v>120.3664169</v>
      </c>
      <c r="T133" s="3">
        <v>28.80132115</v>
      </c>
      <c r="U133" s="3"/>
      <c r="V133" s="3">
        <v>7</v>
      </c>
      <c r="W133" s="3">
        <v>18.9208</v>
      </c>
      <c r="X133" s="3">
        <v>74.24417493</v>
      </c>
      <c r="Y133" s="3"/>
    </row>
    <row r="134" spans="1:25" x14ac:dyDescent="0.3">
      <c r="A134" s="2" t="s">
        <v>176</v>
      </c>
      <c r="B134" s="2" t="s">
        <v>30</v>
      </c>
      <c r="C134" s="2" t="s">
        <v>143</v>
      </c>
      <c r="D134" s="2" t="s">
        <v>144</v>
      </c>
      <c r="E134" s="2">
        <v>1</v>
      </c>
      <c r="F134" s="2">
        <v>2</v>
      </c>
      <c r="G134" s="2">
        <v>6</v>
      </c>
      <c r="H134" s="2">
        <v>3</v>
      </c>
      <c r="I134" s="3">
        <v>35.28</v>
      </c>
      <c r="J134" s="3">
        <v>8.23</v>
      </c>
      <c r="K134" s="3">
        <v>24</v>
      </c>
      <c r="L134" s="3">
        <v>33</v>
      </c>
      <c r="M134" s="3">
        <v>12.55</v>
      </c>
      <c r="N134" s="3">
        <v>39.4</v>
      </c>
      <c r="O134" s="3">
        <v>73.349999999999994</v>
      </c>
      <c r="P134" s="3">
        <v>104.9382896</v>
      </c>
      <c r="Q134" s="3">
        <v>15.55573849</v>
      </c>
      <c r="R134" s="3">
        <v>51.55</v>
      </c>
      <c r="S134" s="3">
        <v>120.67347650000001</v>
      </c>
      <c r="T134" s="3">
        <v>28.462269760000002</v>
      </c>
      <c r="U134" s="3"/>
      <c r="V134" s="3">
        <v>7</v>
      </c>
      <c r="W134" s="3">
        <v>17.379799999999999</v>
      </c>
      <c r="X134" s="3">
        <v>68.504573879999995</v>
      </c>
      <c r="Y134" s="3"/>
    </row>
    <row r="135" spans="1:25" x14ac:dyDescent="0.3">
      <c r="A135" s="2" t="s">
        <v>177</v>
      </c>
      <c r="B135" s="2" t="s">
        <v>30</v>
      </c>
      <c r="C135" s="2" t="s">
        <v>143</v>
      </c>
      <c r="D135" s="2" t="s">
        <v>144</v>
      </c>
      <c r="E135" s="2">
        <v>1</v>
      </c>
      <c r="F135" s="2">
        <v>2</v>
      </c>
      <c r="G135" s="2">
        <v>6</v>
      </c>
      <c r="H135" s="2">
        <v>4</v>
      </c>
      <c r="I135" s="3">
        <v>43.17</v>
      </c>
      <c r="J135" s="3">
        <v>8.69</v>
      </c>
      <c r="K135" s="3">
        <v>24</v>
      </c>
      <c r="L135" s="3">
        <v>42</v>
      </c>
      <c r="M135" s="3">
        <v>12.616400000000001</v>
      </c>
      <c r="N135" s="3">
        <v>43.8</v>
      </c>
      <c r="O135" s="3">
        <v>76.69</v>
      </c>
      <c r="P135" s="3">
        <v>105.94514820000001</v>
      </c>
      <c r="Q135" s="3">
        <v>18.613805490000001</v>
      </c>
      <c r="R135" s="3">
        <v>46.28</v>
      </c>
      <c r="S135" s="3">
        <v>122.85657759999999</v>
      </c>
      <c r="T135" s="3">
        <v>26.320533810000001</v>
      </c>
      <c r="U135" s="3"/>
      <c r="V135" s="3">
        <v>7.5</v>
      </c>
      <c r="W135" s="3">
        <v>18.71980000000001</v>
      </c>
      <c r="X135" s="3">
        <v>68.885855419999999</v>
      </c>
      <c r="Y135" s="3"/>
    </row>
    <row r="136" spans="1:25" x14ac:dyDescent="0.3">
      <c r="A136" s="2" t="s">
        <v>178</v>
      </c>
      <c r="B136" s="2" t="s">
        <v>30</v>
      </c>
      <c r="C136" s="2" t="s">
        <v>143</v>
      </c>
      <c r="D136" s="2" t="s">
        <v>144</v>
      </c>
      <c r="E136" s="2">
        <v>1</v>
      </c>
      <c r="F136" s="2">
        <v>2</v>
      </c>
      <c r="G136" s="2">
        <v>6</v>
      </c>
      <c r="H136" s="2">
        <v>5</v>
      </c>
      <c r="I136" s="3">
        <v>46.03</v>
      </c>
      <c r="J136" s="3">
        <v>9.86</v>
      </c>
      <c r="K136" s="3">
        <v>24</v>
      </c>
      <c r="L136" s="3">
        <v>38</v>
      </c>
      <c r="M136" s="3">
        <v>11.198600000000001</v>
      </c>
      <c r="N136" s="3">
        <v>41.1</v>
      </c>
      <c r="O136" s="3">
        <v>74.489999999999995</v>
      </c>
      <c r="P136" s="3">
        <v>107.8992375</v>
      </c>
      <c r="Q136" s="3">
        <v>15.22703188</v>
      </c>
      <c r="R136" s="3">
        <v>50.67</v>
      </c>
      <c r="S136" s="3">
        <v>120.6691148</v>
      </c>
      <c r="T136" s="3">
        <v>24.368555560000001</v>
      </c>
      <c r="U136" s="3"/>
      <c r="V136" s="3">
        <v>7</v>
      </c>
      <c r="W136" s="3">
        <v>20.354600000000001</v>
      </c>
      <c r="X136" s="3">
        <v>67.055309230000006</v>
      </c>
      <c r="Y136" s="3"/>
    </row>
    <row r="137" spans="1:25" x14ac:dyDescent="0.3">
      <c r="A137" s="2" t="s">
        <v>179</v>
      </c>
      <c r="B137" s="2" t="s">
        <v>150</v>
      </c>
      <c r="C137" s="2" t="s">
        <v>143</v>
      </c>
      <c r="D137" s="2" t="s">
        <v>151</v>
      </c>
      <c r="E137" s="2">
        <v>1</v>
      </c>
      <c r="F137" s="2">
        <v>2</v>
      </c>
      <c r="G137" s="2">
        <v>6</v>
      </c>
      <c r="H137" s="2">
        <v>1</v>
      </c>
      <c r="I137" s="3">
        <v>50.22</v>
      </c>
      <c r="J137" s="3">
        <v>10.43</v>
      </c>
      <c r="K137" s="3">
        <v>25</v>
      </c>
      <c r="L137" s="3">
        <v>33</v>
      </c>
      <c r="M137" s="3">
        <v>15.01</v>
      </c>
      <c r="N137" s="3">
        <v>32.1</v>
      </c>
      <c r="O137" s="3">
        <v>70.02</v>
      </c>
      <c r="P137" s="3">
        <v>106.8797905</v>
      </c>
      <c r="Q137" s="3">
        <v>13.052363769999999</v>
      </c>
      <c r="R137" s="3">
        <v>47.43</v>
      </c>
      <c r="S137" s="3">
        <v>121.8558908</v>
      </c>
      <c r="T137" s="3">
        <v>36.226610389999998</v>
      </c>
      <c r="U137" s="3"/>
      <c r="V137" s="3">
        <v>6</v>
      </c>
      <c r="W137" s="3">
        <v>16.3614</v>
      </c>
      <c r="X137" s="3">
        <v>56.198943630000002</v>
      </c>
      <c r="Y137" s="3"/>
    </row>
    <row r="138" spans="1:25" x14ac:dyDescent="0.3">
      <c r="A138" s="2" t="s">
        <v>180</v>
      </c>
      <c r="B138" s="2" t="s">
        <v>150</v>
      </c>
      <c r="C138" s="2" t="s">
        <v>143</v>
      </c>
      <c r="D138" s="2" t="s">
        <v>151</v>
      </c>
      <c r="E138" s="2">
        <v>1</v>
      </c>
      <c r="F138" s="2">
        <v>2</v>
      </c>
      <c r="G138" s="2">
        <v>6</v>
      </c>
      <c r="H138" s="2">
        <v>2</v>
      </c>
      <c r="I138" s="3">
        <v>50.86</v>
      </c>
      <c r="J138" s="3">
        <v>6.93</v>
      </c>
      <c r="K138" s="3">
        <v>26.5</v>
      </c>
      <c r="L138" s="3">
        <v>32</v>
      </c>
      <c r="M138" s="3">
        <v>14.97</v>
      </c>
      <c r="N138" s="3">
        <v>17.7</v>
      </c>
      <c r="O138" s="3">
        <v>73.819999999999993</v>
      </c>
      <c r="P138" s="3">
        <v>103.3996224</v>
      </c>
      <c r="Q138" s="3">
        <v>14.412355809999999</v>
      </c>
      <c r="R138" s="3">
        <v>45.14</v>
      </c>
      <c r="S138" s="3">
        <v>118.9279111</v>
      </c>
      <c r="T138" s="3">
        <v>29.935103139999999</v>
      </c>
      <c r="U138" s="3"/>
      <c r="V138" s="3">
        <v>4.5</v>
      </c>
      <c r="W138" s="3">
        <v>12.4352</v>
      </c>
      <c r="X138" s="3">
        <v>60.86900352</v>
      </c>
      <c r="Y138" s="3"/>
    </row>
    <row r="139" spans="1:25" x14ac:dyDescent="0.3">
      <c r="A139" s="2" t="s">
        <v>181</v>
      </c>
      <c r="B139" s="2" t="s">
        <v>150</v>
      </c>
      <c r="C139" s="2" t="s">
        <v>143</v>
      </c>
      <c r="D139" s="2" t="s">
        <v>151</v>
      </c>
      <c r="E139" s="2">
        <v>1</v>
      </c>
      <c r="F139" s="2">
        <v>2</v>
      </c>
      <c r="G139" s="2">
        <v>6</v>
      </c>
      <c r="H139" s="2">
        <v>3</v>
      </c>
      <c r="I139" s="3">
        <v>34.43</v>
      </c>
      <c r="J139" s="3">
        <v>6.87</v>
      </c>
      <c r="K139" s="3">
        <v>26</v>
      </c>
      <c r="L139" s="3">
        <v>25</v>
      </c>
      <c r="M139" s="3">
        <v>16.02</v>
      </c>
      <c r="N139" s="3">
        <v>29.5</v>
      </c>
      <c r="O139" s="3">
        <v>75.77</v>
      </c>
      <c r="P139" s="3">
        <v>104.7887326</v>
      </c>
      <c r="Q139" s="3">
        <v>14.76926877</v>
      </c>
      <c r="R139" s="3">
        <v>43.4</v>
      </c>
      <c r="S139" s="3">
        <v>123.1896065</v>
      </c>
      <c r="T139" s="3">
        <v>32.406820269999997</v>
      </c>
      <c r="U139" s="3"/>
      <c r="V139" s="3">
        <v>5</v>
      </c>
      <c r="W139" s="3">
        <v>16.910799999999998</v>
      </c>
      <c r="X139" s="3">
        <v>56.575532809999999</v>
      </c>
      <c r="Y139" s="3"/>
    </row>
    <row r="140" spans="1:25" x14ac:dyDescent="0.3">
      <c r="A140" s="2" t="s">
        <v>182</v>
      </c>
      <c r="B140" s="2" t="s">
        <v>150</v>
      </c>
      <c r="C140" s="2" t="s">
        <v>143</v>
      </c>
      <c r="D140" s="2" t="s">
        <v>151</v>
      </c>
      <c r="E140" s="2">
        <v>1</v>
      </c>
      <c r="F140" s="2">
        <v>2</v>
      </c>
      <c r="G140" s="2">
        <v>6</v>
      </c>
      <c r="H140" s="2">
        <v>4</v>
      </c>
      <c r="I140" s="3">
        <v>49.65</v>
      </c>
      <c r="J140" s="3">
        <v>7.3</v>
      </c>
      <c r="K140" s="3">
        <v>25</v>
      </c>
      <c r="L140" s="3">
        <v>26</v>
      </c>
      <c r="M140" s="3">
        <v>9.7899999999999991</v>
      </c>
      <c r="N140" s="3">
        <v>29.5</v>
      </c>
      <c r="O140" s="3">
        <v>70.040000000000006</v>
      </c>
      <c r="P140" s="3">
        <v>104.0360002</v>
      </c>
      <c r="Q140" s="3">
        <v>15.379183980000001</v>
      </c>
      <c r="R140" s="3">
        <v>46.99</v>
      </c>
      <c r="S140" s="3">
        <v>120.75504479999999</v>
      </c>
      <c r="T140" s="3">
        <v>34.886473019999997</v>
      </c>
      <c r="U140" s="3"/>
      <c r="V140" s="3">
        <v>5.5</v>
      </c>
      <c r="W140" s="3">
        <v>17.795200000000001</v>
      </c>
      <c r="X140" s="3">
        <v>56.922408359999999</v>
      </c>
      <c r="Y140" s="3"/>
    </row>
    <row r="141" spans="1:25" x14ac:dyDescent="0.3">
      <c r="A141" s="2" t="s">
        <v>183</v>
      </c>
      <c r="B141" s="2" t="s">
        <v>150</v>
      </c>
      <c r="C141" s="2" t="s">
        <v>143</v>
      </c>
      <c r="D141" s="2" t="s">
        <v>151</v>
      </c>
      <c r="E141" s="2">
        <v>1</v>
      </c>
      <c r="F141" s="2">
        <v>2</v>
      </c>
      <c r="G141" s="2">
        <v>6</v>
      </c>
      <c r="H141" s="2">
        <v>5</v>
      </c>
      <c r="I141" s="3">
        <v>50.72</v>
      </c>
      <c r="J141" s="3">
        <v>6.62</v>
      </c>
      <c r="K141" s="3">
        <v>27</v>
      </c>
      <c r="L141" s="3">
        <v>30</v>
      </c>
      <c r="M141" s="3">
        <v>8.74</v>
      </c>
      <c r="N141" s="3">
        <v>25.8</v>
      </c>
      <c r="O141" s="3">
        <v>71.11</v>
      </c>
      <c r="P141" s="3">
        <v>98.646140419999995</v>
      </c>
      <c r="Q141" s="3">
        <v>13.96875442</v>
      </c>
      <c r="R141" s="3">
        <v>47.5</v>
      </c>
      <c r="S141" s="3">
        <v>118.94252299999999</v>
      </c>
      <c r="T141" s="3">
        <v>33.84743417</v>
      </c>
      <c r="U141" s="3"/>
      <c r="V141" s="3">
        <v>5.5</v>
      </c>
      <c r="W141" s="3">
        <v>15.168799999999999</v>
      </c>
      <c r="X141" s="3">
        <v>62.254232129999998</v>
      </c>
      <c r="Y141" s="3"/>
    </row>
    <row r="142" spans="1:25" x14ac:dyDescent="0.3">
      <c r="A142" s="2" t="s">
        <v>184</v>
      </c>
      <c r="B142" s="2" t="s">
        <v>150</v>
      </c>
      <c r="C142" s="2" t="s">
        <v>143</v>
      </c>
      <c r="D142" s="2" t="s">
        <v>157</v>
      </c>
      <c r="E142" s="2">
        <v>1</v>
      </c>
      <c r="F142" s="2">
        <v>2</v>
      </c>
      <c r="G142" s="2">
        <v>6</v>
      </c>
      <c r="H142" s="2">
        <v>1</v>
      </c>
      <c r="I142" s="3">
        <v>35.270000000000003</v>
      </c>
      <c r="J142" s="3">
        <v>12.99</v>
      </c>
      <c r="K142" s="3">
        <v>26</v>
      </c>
      <c r="L142" s="3">
        <v>21</v>
      </c>
      <c r="M142" s="3">
        <v>16.149999999999999</v>
      </c>
      <c r="N142" s="3">
        <v>27.8</v>
      </c>
      <c r="O142" s="3">
        <v>62.57</v>
      </c>
      <c r="P142" s="3">
        <v>90.811881940000006</v>
      </c>
      <c r="Q142" s="3">
        <v>21.87219696</v>
      </c>
      <c r="R142" s="3">
        <v>56.9</v>
      </c>
      <c r="S142" s="3">
        <v>120.5783216</v>
      </c>
      <c r="T142" s="3">
        <v>35.972640990000002</v>
      </c>
      <c r="U142" s="3"/>
      <c r="V142" s="3">
        <v>4</v>
      </c>
      <c r="W142" s="3">
        <v>14.36480000000001</v>
      </c>
      <c r="X142" s="3">
        <v>52.906525790000003</v>
      </c>
      <c r="Y142" s="3"/>
    </row>
    <row r="143" spans="1:25" x14ac:dyDescent="0.3">
      <c r="A143" s="2" t="s">
        <v>185</v>
      </c>
      <c r="B143" s="2" t="s">
        <v>150</v>
      </c>
      <c r="C143" s="2" t="s">
        <v>143</v>
      </c>
      <c r="D143" s="2" t="s">
        <v>157</v>
      </c>
      <c r="E143" s="2">
        <v>1</v>
      </c>
      <c r="F143" s="2">
        <v>2</v>
      </c>
      <c r="G143" s="2">
        <v>6</v>
      </c>
      <c r="H143" s="2">
        <v>2</v>
      </c>
      <c r="I143" s="3">
        <v>37.31</v>
      </c>
      <c r="J143" s="3">
        <v>11.71</v>
      </c>
      <c r="K143" s="3">
        <v>26</v>
      </c>
      <c r="L143" s="3">
        <v>22</v>
      </c>
      <c r="M143" s="3">
        <v>11.89</v>
      </c>
      <c r="N143" s="3">
        <v>30.3</v>
      </c>
      <c r="O143" s="3">
        <v>65.150000000000006</v>
      </c>
      <c r="P143" s="3">
        <v>99.926011840000001</v>
      </c>
      <c r="Q143" s="3">
        <v>18.679625260000002</v>
      </c>
      <c r="R143" s="3">
        <v>50.61</v>
      </c>
      <c r="S143" s="3">
        <v>121.49550050000001</v>
      </c>
      <c r="T143" s="3">
        <v>31.58282603</v>
      </c>
      <c r="U143" s="3"/>
      <c r="V143" s="3">
        <v>5.5</v>
      </c>
      <c r="W143" s="3">
        <v>18.331199999999999</v>
      </c>
      <c r="X143" s="3">
        <v>46.061311910000001</v>
      </c>
      <c r="Y143" s="3"/>
    </row>
    <row r="144" spans="1:25" x14ac:dyDescent="0.3">
      <c r="A144" s="2" t="s">
        <v>186</v>
      </c>
      <c r="B144" s="2" t="s">
        <v>150</v>
      </c>
      <c r="C144" s="2" t="s">
        <v>143</v>
      </c>
      <c r="D144" s="2" t="s">
        <v>157</v>
      </c>
      <c r="E144" s="2">
        <v>1</v>
      </c>
      <c r="F144" s="2">
        <v>2</v>
      </c>
      <c r="G144" s="2">
        <v>6</v>
      </c>
      <c r="H144" s="2">
        <v>3</v>
      </c>
      <c r="I144" s="3">
        <v>44.4</v>
      </c>
      <c r="J144" s="3">
        <v>7.01</v>
      </c>
      <c r="K144" s="3">
        <v>23</v>
      </c>
      <c r="L144" s="3">
        <v>26</v>
      </c>
      <c r="M144" s="3">
        <v>14.78</v>
      </c>
      <c r="N144" s="3">
        <v>25</v>
      </c>
      <c r="O144" s="3">
        <v>65.709999999999994</v>
      </c>
      <c r="P144" s="3">
        <v>87.626845660000001</v>
      </c>
      <c r="Q144" s="3">
        <v>18.35574025</v>
      </c>
      <c r="R144" s="3">
        <v>53.49</v>
      </c>
      <c r="S144" s="3">
        <v>108.5149499</v>
      </c>
      <c r="T144" s="3">
        <v>29.349127759999998</v>
      </c>
      <c r="U144" s="3"/>
      <c r="V144" s="3">
        <v>3.5</v>
      </c>
      <c r="W144" s="3">
        <v>17.5808</v>
      </c>
      <c r="X144" s="3">
        <v>46.512109080000002</v>
      </c>
      <c r="Y144" s="3"/>
    </row>
    <row r="145" spans="1:25" x14ac:dyDescent="0.3">
      <c r="A145" s="2" t="s">
        <v>187</v>
      </c>
      <c r="B145" s="2" t="s">
        <v>150</v>
      </c>
      <c r="C145" s="2" t="s">
        <v>143</v>
      </c>
      <c r="D145" s="2" t="s">
        <v>157</v>
      </c>
      <c r="E145" s="2">
        <v>1</v>
      </c>
      <c r="F145" s="2">
        <v>2</v>
      </c>
      <c r="G145" s="2">
        <v>6</v>
      </c>
      <c r="H145" s="2">
        <v>4</v>
      </c>
      <c r="I145" s="3">
        <v>53.58</v>
      </c>
      <c r="J145" s="3">
        <v>10.28</v>
      </c>
      <c r="K145" s="3">
        <v>25</v>
      </c>
      <c r="L145" s="3">
        <v>26</v>
      </c>
      <c r="M145" s="3">
        <v>15.97</v>
      </c>
      <c r="N145" s="3">
        <v>28.2</v>
      </c>
      <c r="O145" s="3">
        <v>64.39</v>
      </c>
      <c r="P145" s="3">
        <v>96.76085741</v>
      </c>
      <c r="Q145" s="3">
        <v>18.941726429999999</v>
      </c>
      <c r="R145" s="3">
        <v>56.42</v>
      </c>
      <c r="S145" s="3">
        <v>115.3138931</v>
      </c>
      <c r="T145" s="3">
        <v>38.308501669999998</v>
      </c>
      <c r="U145" s="3"/>
      <c r="V145" s="3">
        <v>4</v>
      </c>
      <c r="W145" s="3">
        <v>17.888999999999999</v>
      </c>
      <c r="X145" s="3">
        <v>41.839965329999998</v>
      </c>
      <c r="Y145" s="3"/>
    </row>
    <row r="146" spans="1:25" x14ac:dyDescent="0.3">
      <c r="A146" s="2" t="s">
        <v>188</v>
      </c>
      <c r="B146" s="2" t="s">
        <v>150</v>
      </c>
      <c r="C146" s="2" t="s">
        <v>143</v>
      </c>
      <c r="D146" s="2" t="s">
        <v>157</v>
      </c>
      <c r="E146" s="2">
        <v>1</v>
      </c>
      <c r="F146" s="2">
        <v>2</v>
      </c>
      <c r="G146" s="2">
        <v>6</v>
      </c>
      <c r="H146" s="2">
        <v>5</v>
      </c>
      <c r="I146" s="3">
        <v>39.07</v>
      </c>
      <c r="J146" s="3">
        <v>11.29</v>
      </c>
      <c r="K146" s="3">
        <v>27</v>
      </c>
      <c r="L146" s="3">
        <v>25</v>
      </c>
      <c r="M146" s="3">
        <v>17.34</v>
      </c>
      <c r="N146" s="3">
        <v>27.2</v>
      </c>
      <c r="O146" s="3">
        <v>67.92</v>
      </c>
      <c r="P146" s="3">
        <v>99.204952649999996</v>
      </c>
      <c r="Q146" s="3">
        <v>18.315875630000001</v>
      </c>
      <c r="R146" s="3">
        <v>50.91</v>
      </c>
      <c r="S146" s="3">
        <v>117.5683841</v>
      </c>
      <c r="T146" s="3">
        <v>33.44776375</v>
      </c>
      <c r="U146" s="3"/>
      <c r="V146" s="3">
        <v>4.5</v>
      </c>
      <c r="W146" s="3">
        <v>16.093399999999999</v>
      </c>
      <c r="X146" s="3">
        <v>42.670479229999998</v>
      </c>
      <c r="Y146" s="3"/>
    </row>
    <row r="147" spans="1:25" x14ac:dyDescent="0.3">
      <c r="A147" s="2" t="s">
        <v>189</v>
      </c>
      <c r="B147" s="2" t="s">
        <v>150</v>
      </c>
      <c r="C147" s="2" t="s">
        <v>143</v>
      </c>
      <c r="D147" s="2" t="s">
        <v>163</v>
      </c>
      <c r="E147" s="2">
        <v>1</v>
      </c>
      <c r="F147" s="2">
        <v>2</v>
      </c>
      <c r="G147" s="2">
        <v>6</v>
      </c>
      <c r="H147" s="2">
        <v>1</v>
      </c>
      <c r="I147" s="3">
        <v>44.35</v>
      </c>
      <c r="J147" s="3">
        <v>8.01</v>
      </c>
      <c r="K147" s="3">
        <v>25</v>
      </c>
      <c r="L147" s="3">
        <v>34</v>
      </c>
      <c r="M147" s="3">
        <v>13.64</v>
      </c>
      <c r="N147" s="3">
        <v>32.6</v>
      </c>
      <c r="O147" s="3">
        <v>67.5</v>
      </c>
      <c r="P147" s="3">
        <v>99.500383729999996</v>
      </c>
      <c r="Q147" s="3">
        <v>12.298690990000001</v>
      </c>
      <c r="R147" s="3">
        <v>52.04</v>
      </c>
      <c r="S147" s="3">
        <v>112.3869562</v>
      </c>
      <c r="T147" s="3">
        <v>39.594172550000003</v>
      </c>
      <c r="U147" s="3"/>
      <c r="V147" s="3">
        <v>4.5</v>
      </c>
      <c r="W147" s="3">
        <v>12.7166</v>
      </c>
      <c r="X147" s="3">
        <v>70.193856620000005</v>
      </c>
      <c r="Y147" s="3"/>
    </row>
    <row r="148" spans="1:25" x14ac:dyDescent="0.3">
      <c r="A148" s="2" t="s">
        <v>190</v>
      </c>
      <c r="B148" s="2" t="s">
        <v>150</v>
      </c>
      <c r="C148" s="2" t="s">
        <v>143</v>
      </c>
      <c r="D148" s="2" t="s">
        <v>163</v>
      </c>
      <c r="E148" s="2">
        <v>1</v>
      </c>
      <c r="F148" s="2">
        <v>2</v>
      </c>
      <c r="G148" s="2">
        <v>6</v>
      </c>
      <c r="H148" s="2">
        <v>2</v>
      </c>
      <c r="I148" s="3">
        <v>59.82</v>
      </c>
      <c r="J148" s="3">
        <v>6.81</v>
      </c>
      <c r="K148" s="3">
        <v>27</v>
      </c>
      <c r="L148" s="3">
        <v>33.5</v>
      </c>
      <c r="M148" s="3">
        <v>5.04</v>
      </c>
      <c r="N148" s="3">
        <v>28.3</v>
      </c>
      <c r="O148" s="3">
        <v>70.95</v>
      </c>
      <c r="P148" s="3">
        <v>99.042828720000003</v>
      </c>
      <c r="Q148" s="3">
        <v>14.37872039</v>
      </c>
      <c r="R148" s="3">
        <v>50.87</v>
      </c>
      <c r="S148" s="3">
        <v>117.0769866</v>
      </c>
      <c r="T148" s="3">
        <v>35.018223829999997</v>
      </c>
      <c r="U148" s="3"/>
      <c r="V148" s="3">
        <v>5</v>
      </c>
      <c r="W148" s="3">
        <v>9.8892000000000007</v>
      </c>
      <c r="X148" s="3">
        <v>87.316273280000004</v>
      </c>
      <c r="Y148" s="3"/>
    </row>
    <row r="149" spans="1:25" x14ac:dyDescent="0.3">
      <c r="A149" s="2" t="s">
        <v>191</v>
      </c>
      <c r="B149" s="2" t="s">
        <v>150</v>
      </c>
      <c r="C149" s="2" t="s">
        <v>143</v>
      </c>
      <c r="D149" s="2" t="s">
        <v>163</v>
      </c>
      <c r="E149" s="2">
        <v>1</v>
      </c>
      <c r="F149" s="2">
        <v>2</v>
      </c>
      <c r="G149" s="2">
        <v>6</v>
      </c>
      <c r="H149" s="2">
        <v>3</v>
      </c>
      <c r="I149" s="3">
        <v>56.27</v>
      </c>
      <c r="J149" s="3">
        <v>7.36</v>
      </c>
      <c r="K149" s="3">
        <v>25</v>
      </c>
      <c r="L149" s="3">
        <v>36</v>
      </c>
      <c r="M149" s="3">
        <v>12.48</v>
      </c>
      <c r="N149" s="3">
        <v>36.9</v>
      </c>
      <c r="O149" s="3"/>
      <c r="P149" s="3">
        <v>96.513064560000004</v>
      </c>
      <c r="Q149" s="3">
        <v>14.9867308</v>
      </c>
      <c r="R149" s="3">
        <v>50.33</v>
      </c>
      <c r="S149" s="3">
        <v>115.2229638</v>
      </c>
      <c r="T149" s="3">
        <v>37.240743819999999</v>
      </c>
      <c r="U149" s="3"/>
      <c r="V149" s="3">
        <v>4</v>
      </c>
      <c r="W149" s="3">
        <v>11.3096</v>
      </c>
      <c r="X149" s="3">
        <v>80.361611809999999</v>
      </c>
      <c r="Y149" s="3"/>
    </row>
    <row r="150" spans="1:25" x14ac:dyDescent="0.3">
      <c r="A150" s="2" t="s">
        <v>192</v>
      </c>
      <c r="B150" s="2" t="s">
        <v>150</v>
      </c>
      <c r="C150" s="2" t="s">
        <v>143</v>
      </c>
      <c r="D150" s="2" t="s">
        <v>163</v>
      </c>
      <c r="E150" s="2">
        <v>1</v>
      </c>
      <c r="F150" s="2">
        <v>2</v>
      </c>
      <c r="G150" s="2">
        <v>6</v>
      </c>
      <c r="H150" s="2">
        <v>4</v>
      </c>
      <c r="I150" s="3">
        <v>49.67</v>
      </c>
      <c r="J150" s="3">
        <v>5.66</v>
      </c>
      <c r="K150" s="3">
        <v>24</v>
      </c>
      <c r="L150" s="3">
        <v>32</v>
      </c>
      <c r="M150" s="3">
        <v>7.4</v>
      </c>
      <c r="N150" s="3">
        <v>30.4</v>
      </c>
      <c r="O150" s="3">
        <v>77.41</v>
      </c>
      <c r="P150" s="3">
        <v>102.6419123</v>
      </c>
      <c r="Q150" s="3">
        <v>12.06244171</v>
      </c>
      <c r="R150" s="3">
        <v>54.38</v>
      </c>
      <c r="S150" s="3">
        <v>114.71128830000001</v>
      </c>
      <c r="T150" s="3">
        <v>36.502783460000003</v>
      </c>
      <c r="U150" s="3"/>
      <c r="V150" s="3">
        <v>5.5</v>
      </c>
      <c r="W150" s="3">
        <v>13.507199999999999</v>
      </c>
      <c r="X150" s="3">
        <v>75.852012900000005</v>
      </c>
      <c r="Y150" s="3"/>
    </row>
    <row r="151" spans="1:25" x14ac:dyDescent="0.3">
      <c r="A151" s="2" t="s">
        <v>193</v>
      </c>
      <c r="B151" s="2" t="s">
        <v>150</v>
      </c>
      <c r="C151" s="2" t="s">
        <v>143</v>
      </c>
      <c r="D151" s="2" t="s">
        <v>163</v>
      </c>
      <c r="E151" s="2">
        <v>1</v>
      </c>
      <c r="F151" s="2">
        <v>2</v>
      </c>
      <c r="G151" s="2">
        <v>6</v>
      </c>
      <c r="H151" s="2">
        <v>5</v>
      </c>
      <c r="I151" s="3">
        <v>42.17</v>
      </c>
      <c r="J151" s="3">
        <v>6.23</v>
      </c>
      <c r="K151" s="3">
        <v>21</v>
      </c>
      <c r="L151" s="3">
        <v>32</v>
      </c>
      <c r="M151" s="3">
        <v>9.5</v>
      </c>
      <c r="N151" s="3">
        <v>35.200000000000003</v>
      </c>
      <c r="O151" s="3">
        <v>70.349999999999994</v>
      </c>
      <c r="P151" s="3">
        <v>98.641427550000003</v>
      </c>
      <c r="Q151" s="3">
        <v>15.83982323</v>
      </c>
      <c r="R151" s="3">
        <v>48.47</v>
      </c>
      <c r="S151" s="3">
        <v>118.90721809999999</v>
      </c>
      <c r="T151" s="3">
        <v>30.67159109</v>
      </c>
      <c r="U151" s="3"/>
      <c r="V151" s="3">
        <v>5</v>
      </c>
      <c r="W151" s="3">
        <v>13.534000000000001</v>
      </c>
      <c r="X151" s="3">
        <v>69.559281049999996</v>
      </c>
      <c r="Y151" s="3"/>
    </row>
    <row r="152" spans="1:25" x14ac:dyDescent="0.3">
      <c r="A152" s="2" t="s">
        <v>194</v>
      </c>
      <c r="B152" s="2" t="s">
        <v>150</v>
      </c>
      <c r="C152" s="2" t="s">
        <v>143</v>
      </c>
      <c r="D152" s="2" t="s">
        <v>169</v>
      </c>
      <c r="E152" s="2">
        <v>1</v>
      </c>
      <c r="F152" s="2">
        <v>2</v>
      </c>
      <c r="G152" s="2">
        <v>6</v>
      </c>
      <c r="H152" s="2">
        <v>1</v>
      </c>
      <c r="I152" s="3">
        <v>46.52</v>
      </c>
      <c r="J152" s="3">
        <v>15.71</v>
      </c>
      <c r="K152" s="3">
        <v>22</v>
      </c>
      <c r="L152" s="3">
        <v>35</v>
      </c>
      <c r="M152" s="3">
        <v>12.8</v>
      </c>
      <c r="N152" s="3">
        <v>21.5</v>
      </c>
      <c r="O152" s="3">
        <v>63.74</v>
      </c>
      <c r="P152" s="3">
        <v>92.182303270000006</v>
      </c>
      <c r="Q152" s="3">
        <v>18.643524339999999</v>
      </c>
      <c r="R152" s="3">
        <v>50.25</v>
      </c>
      <c r="S152" s="3">
        <v>119.680774</v>
      </c>
      <c r="T152" s="3">
        <v>33.402574749999999</v>
      </c>
      <c r="U152" s="3"/>
      <c r="V152" s="3">
        <v>5</v>
      </c>
      <c r="W152" s="3">
        <v>15.8924</v>
      </c>
      <c r="X152" s="3">
        <v>69.347196249999996</v>
      </c>
      <c r="Y152" s="3"/>
    </row>
    <row r="153" spans="1:25" x14ac:dyDescent="0.3">
      <c r="A153" s="2" t="s">
        <v>195</v>
      </c>
      <c r="B153" s="2" t="s">
        <v>150</v>
      </c>
      <c r="C153" s="2" t="s">
        <v>143</v>
      </c>
      <c r="D153" s="2" t="s">
        <v>169</v>
      </c>
      <c r="E153" s="2">
        <v>1</v>
      </c>
      <c r="F153" s="2">
        <v>2</v>
      </c>
      <c r="G153" s="2">
        <v>6</v>
      </c>
      <c r="H153" s="2">
        <v>2</v>
      </c>
      <c r="I153" s="3">
        <v>46.4</v>
      </c>
      <c r="J153" s="3">
        <v>8.26</v>
      </c>
      <c r="K153" s="3">
        <v>25</v>
      </c>
      <c r="L153" s="3">
        <v>36</v>
      </c>
      <c r="M153" s="3">
        <v>8.51</v>
      </c>
      <c r="N153" s="3">
        <v>21.3</v>
      </c>
      <c r="O153" s="3">
        <v>65.37</v>
      </c>
      <c r="P153" s="3">
        <v>103.5827213</v>
      </c>
      <c r="Q153" s="3">
        <v>16.861604310000001</v>
      </c>
      <c r="R153" s="3">
        <v>44.55</v>
      </c>
      <c r="S153" s="3">
        <v>121.5234502</v>
      </c>
      <c r="T153" s="3">
        <v>25.093156440000001</v>
      </c>
      <c r="U153" s="3"/>
      <c r="V153" s="3">
        <v>5</v>
      </c>
      <c r="W153" s="3">
        <v>14.5792</v>
      </c>
      <c r="X153" s="3">
        <v>70.520581239999999</v>
      </c>
      <c r="Y153" s="3"/>
    </row>
    <row r="154" spans="1:25" x14ac:dyDescent="0.3">
      <c r="A154" s="2" t="s">
        <v>196</v>
      </c>
      <c r="B154" s="2" t="s">
        <v>150</v>
      </c>
      <c r="C154" s="2" t="s">
        <v>143</v>
      </c>
      <c r="D154" s="2" t="s">
        <v>169</v>
      </c>
      <c r="E154" s="2">
        <v>1</v>
      </c>
      <c r="F154" s="2">
        <v>2</v>
      </c>
      <c r="G154" s="2">
        <v>6</v>
      </c>
      <c r="H154" s="2">
        <v>3</v>
      </c>
      <c r="I154" s="3">
        <v>48.48</v>
      </c>
      <c r="J154" s="3">
        <v>11.85</v>
      </c>
      <c r="K154" s="3">
        <v>26</v>
      </c>
      <c r="L154" s="3">
        <v>33</v>
      </c>
      <c r="M154" s="3">
        <v>14.66</v>
      </c>
      <c r="N154" s="3">
        <v>24.9</v>
      </c>
      <c r="O154" s="3">
        <v>60.89</v>
      </c>
      <c r="P154" s="3">
        <v>99.630605739999993</v>
      </c>
      <c r="Q154" s="3">
        <v>20.68148206</v>
      </c>
      <c r="R154" s="3">
        <v>46.13</v>
      </c>
      <c r="S154" s="3">
        <v>126.22653409999999</v>
      </c>
      <c r="T154" s="3">
        <v>28.511795800000002</v>
      </c>
      <c r="U154" s="3"/>
      <c r="V154" s="3">
        <v>6.5</v>
      </c>
      <c r="W154" s="3">
        <v>19.845400000000009</v>
      </c>
      <c r="X154" s="3">
        <v>71.860376549999998</v>
      </c>
      <c r="Y154" s="3"/>
    </row>
    <row r="155" spans="1:25" x14ac:dyDescent="0.3">
      <c r="A155" s="2" t="s">
        <v>197</v>
      </c>
      <c r="B155" s="2" t="s">
        <v>150</v>
      </c>
      <c r="C155" s="2" t="s">
        <v>143</v>
      </c>
      <c r="D155" s="2" t="s">
        <v>169</v>
      </c>
      <c r="E155" s="2">
        <v>1</v>
      </c>
      <c r="F155" s="2">
        <v>2</v>
      </c>
      <c r="G155" s="2">
        <v>6</v>
      </c>
      <c r="H155" s="2">
        <v>4</v>
      </c>
      <c r="I155" s="3">
        <v>49.25</v>
      </c>
      <c r="J155" s="3">
        <v>9.01</v>
      </c>
      <c r="K155" s="3">
        <v>22</v>
      </c>
      <c r="L155" s="3">
        <v>31</v>
      </c>
      <c r="M155" s="3">
        <v>14.47</v>
      </c>
      <c r="N155" s="3">
        <v>23.7</v>
      </c>
      <c r="O155" s="3">
        <v>60.22</v>
      </c>
      <c r="P155" s="3">
        <v>105.9743615</v>
      </c>
      <c r="Q155" s="3">
        <v>18.858234280000001</v>
      </c>
      <c r="R155" s="3">
        <v>48.32</v>
      </c>
      <c r="S155" s="3">
        <v>121.97062889999999</v>
      </c>
      <c r="T155" s="3">
        <v>29.953425509999999</v>
      </c>
      <c r="U155" s="3"/>
      <c r="V155" s="3">
        <v>5.5</v>
      </c>
      <c r="W155" s="3">
        <v>15.999599999999999</v>
      </c>
      <c r="X155" s="3">
        <v>65.564212389999994</v>
      </c>
      <c r="Y155" s="3"/>
    </row>
    <row r="156" spans="1:25" x14ac:dyDescent="0.3">
      <c r="A156" s="2" t="s">
        <v>198</v>
      </c>
      <c r="B156" s="2" t="s">
        <v>150</v>
      </c>
      <c r="C156" s="2" t="s">
        <v>143</v>
      </c>
      <c r="D156" s="2" t="s">
        <v>169</v>
      </c>
      <c r="E156" s="2">
        <v>1</v>
      </c>
      <c r="F156" s="2">
        <v>2</v>
      </c>
      <c r="G156" s="2">
        <v>6</v>
      </c>
      <c r="H156" s="2">
        <v>5</v>
      </c>
      <c r="I156" s="3">
        <v>44.25</v>
      </c>
      <c r="J156" s="3">
        <v>6.76</v>
      </c>
      <c r="K156" s="3">
        <v>22</v>
      </c>
      <c r="L156" s="3">
        <v>34</v>
      </c>
      <c r="M156" s="3">
        <v>10.220000000000001</v>
      </c>
      <c r="N156" s="3">
        <v>26.6</v>
      </c>
      <c r="O156" s="3">
        <v>65.27</v>
      </c>
      <c r="P156" s="3">
        <v>99.805859369999993</v>
      </c>
      <c r="Q156" s="3">
        <v>18.906223839999999</v>
      </c>
      <c r="R156" s="3">
        <v>54.48</v>
      </c>
      <c r="S156" s="3">
        <v>127.4162005</v>
      </c>
      <c r="T156" s="3">
        <v>31.237421470000001</v>
      </c>
      <c r="U156" s="3"/>
      <c r="V156" s="3">
        <v>6.5</v>
      </c>
      <c r="W156" s="3">
        <v>16.307800000000011</v>
      </c>
      <c r="X156" s="3">
        <v>73.428534310000003</v>
      </c>
      <c r="Y156" s="3"/>
    </row>
    <row r="157" spans="1:25" x14ac:dyDescent="0.3">
      <c r="A157" s="2" t="s">
        <v>199</v>
      </c>
      <c r="B157" s="2" t="s">
        <v>30</v>
      </c>
      <c r="C157" s="2" t="s">
        <v>143</v>
      </c>
      <c r="D157" s="2" t="s">
        <v>144</v>
      </c>
      <c r="E157" s="2">
        <v>1</v>
      </c>
      <c r="F157" s="2">
        <v>3</v>
      </c>
      <c r="G157" s="2">
        <v>10</v>
      </c>
      <c r="H157" s="2">
        <v>1</v>
      </c>
      <c r="I157" s="3">
        <v>45.43</v>
      </c>
      <c r="J157" s="3">
        <v>10.37</v>
      </c>
      <c r="K157" s="3">
        <v>24</v>
      </c>
      <c r="L157" s="3">
        <v>37</v>
      </c>
      <c r="M157" s="3">
        <v>10.72</v>
      </c>
      <c r="N157" s="3">
        <v>37.299999999999997</v>
      </c>
      <c r="O157" s="3">
        <v>74.459999999999994</v>
      </c>
      <c r="P157" s="3">
        <v>102.0252706</v>
      </c>
      <c r="Q157" s="3">
        <v>14.447041219999999</v>
      </c>
      <c r="R157" s="3">
        <v>46.34</v>
      </c>
      <c r="S157" s="3">
        <v>117.27306780000001</v>
      </c>
      <c r="T157" s="3">
        <v>32.559637590000001</v>
      </c>
      <c r="U157" s="3"/>
      <c r="V157" s="3">
        <v>8.5</v>
      </c>
      <c r="W157" s="3">
        <v>16.616</v>
      </c>
      <c r="X157" s="3">
        <v>53.277542570000001</v>
      </c>
      <c r="Y157" s="3"/>
    </row>
    <row r="158" spans="1:25" x14ac:dyDescent="0.3">
      <c r="A158" s="2" t="s">
        <v>200</v>
      </c>
      <c r="B158" s="2" t="s">
        <v>30</v>
      </c>
      <c r="C158" s="2" t="s">
        <v>143</v>
      </c>
      <c r="D158" s="2" t="s">
        <v>144</v>
      </c>
      <c r="E158" s="2">
        <v>1</v>
      </c>
      <c r="F158" s="2">
        <v>3</v>
      </c>
      <c r="G158" s="2">
        <v>10</v>
      </c>
      <c r="H158" s="2">
        <v>2</v>
      </c>
      <c r="I158" s="3">
        <v>51.53</v>
      </c>
      <c r="J158" s="3">
        <v>11.37</v>
      </c>
      <c r="K158" s="3">
        <v>23</v>
      </c>
      <c r="L158" s="3">
        <v>31</v>
      </c>
      <c r="M158" s="3">
        <v>17.940000000000001</v>
      </c>
      <c r="N158" s="3">
        <v>33.799999999999997</v>
      </c>
      <c r="O158" s="3">
        <v>72.98</v>
      </c>
      <c r="P158" s="3">
        <v>102.7963203</v>
      </c>
      <c r="Q158" s="3">
        <v>16.47930217</v>
      </c>
      <c r="R158" s="3">
        <v>52.82</v>
      </c>
      <c r="S158" s="3">
        <v>118.11689610000001</v>
      </c>
      <c r="T158" s="3">
        <v>33.186480680000003</v>
      </c>
      <c r="U158" s="3"/>
      <c r="V158" s="3">
        <v>9.5</v>
      </c>
      <c r="W158" s="3">
        <v>19.081600000000002</v>
      </c>
      <c r="X158" s="3">
        <v>59.099783559999999</v>
      </c>
      <c r="Y158" s="3"/>
    </row>
    <row r="159" spans="1:25" x14ac:dyDescent="0.3">
      <c r="A159" s="2" t="s">
        <v>201</v>
      </c>
      <c r="B159" s="2" t="s">
        <v>30</v>
      </c>
      <c r="C159" s="2" t="s">
        <v>143</v>
      </c>
      <c r="D159" s="2" t="s">
        <v>144</v>
      </c>
      <c r="E159" s="2">
        <v>1</v>
      </c>
      <c r="F159" s="2">
        <v>3</v>
      </c>
      <c r="G159" s="2">
        <v>10</v>
      </c>
      <c r="H159" s="2">
        <v>3</v>
      </c>
      <c r="I159" s="3">
        <v>28.05</v>
      </c>
      <c r="J159" s="3">
        <v>10.199999999999999</v>
      </c>
      <c r="K159" s="3">
        <v>22</v>
      </c>
      <c r="L159" s="3">
        <v>32</v>
      </c>
      <c r="M159" s="3">
        <v>16.25</v>
      </c>
      <c r="N159" s="3">
        <v>32.200000000000003</v>
      </c>
      <c r="O159" s="3">
        <v>72.05</v>
      </c>
      <c r="P159" s="3">
        <v>102.5713738</v>
      </c>
      <c r="Q159" s="3">
        <v>14.51807494</v>
      </c>
      <c r="R159" s="3">
        <v>55.64</v>
      </c>
      <c r="S159" s="3">
        <v>116.36925410000001</v>
      </c>
      <c r="T159" s="3">
        <v>38.004432639999997</v>
      </c>
      <c r="U159" s="3"/>
      <c r="V159" s="3">
        <v>7</v>
      </c>
      <c r="W159" s="3">
        <v>19.711400000000008</v>
      </c>
      <c r="X159" s="3">
        <v>60.750401449999998</v>
      </c>
      <c r="Y159" s="3"/>
    </row>
    <row r="160" spans="1:25" x14ac:dyDescent="0.3">
      <c r="A160" s="2" t="s">
        <v>202</v>
      </c>
      <c r="B160" s="2" t="s">
        <v>30</v>
      </c>
      <c r="C160" s="2" t="s">
        <v>143</v>
      </c>
      <c r="D160" s="2" t="s">
        <v>144</v>
      </c>
      <c r="E160" s="2">
        <v>1</v>
      </c>
      <c r="F160" s="2">
        <v>3</v>
      </c>
      <c r="G160" s="2">
        <v>10</v>
      </c>
      <c r="H160" s="2">
        <v>4</v>
      </c>
      <c r="I160" s="3">
        <v>45.43</v>
      </c>
      <c r="J160" s="3">
        <v>11.33</v>
      </c>
      <c r="K160" s="3">
        <v>24</v>
      </c>
      <c r="L160" s="3">
        <v>42</v>
      </c>
      <c r="M160" s="3">
        <v>12.37</v>
      </c>
      <c r="N160" s="3">
        <v>35</v>
      </c>
      <c r="O160" s="3">
        <v>75.19</v>
      </c>
      <c r="P160" s="3">
        <v>104.21291600000001</v>
      </c>
      <c r="Q160" s="3">
        <v>16.494926490000001</v>
      </c>
      <c r="R160" s="3">
        <v>49.94</v>
      </c>
      <c r="S160" s="3">
        <v>115.3592269</v>
      </c>
      <c r="T160" s="3">
        <v>32.734336710000001</v>
      </c>
      <c r="U160" s="3"/>
      <c r="V160" s="3">
        <v>9</v>
      </c>
      <c r="W160" s="3">
        <v>17.996200000000002</v>
      </c>
      <c r="X160" s="3">
        <v>59.378485650000002</v>
      </c>
      <c r="Y160" s="3"/>
    </row>
    <row r="161" spans="1:25" x14ac:dyDescent="0.3">
      <c r="A161" s="2" t="s">
        <v>203</v>
      </c>
      <c r="B161" s="2" t="s">
        <v>30</v>
      </c>
      <c r="C161" s="2" t="s">
        <v>143</v>
      </c>
      <c r="D161" s="2" t="s">
        <v>144</v>
      </c>
      <c r="E161" s="2">
        <v>1</v>
      </c>
      <c r="F161" s="2">
        <v>3</v>
      </c>
      <c r="G161" s="2">
        <v>10</v>
      </c>
      <c r="H161" s="2">
        <v>5</v>
      </c>
      <c r="I161" s="3">
        <v>32.75</v>
      </c>
      <c r="J161" s="3">
        <v>12.1</v>
      </c>
      <c r="K161" s="3">
        <v>22</v>
      </c>
      <c r="L161" s="3">
        <v>35</v>
      </c>
      <c r="M161" s="3">
        <v>10.92</v>
      </c>
      <c r="N161" s="3">
        <v>30.7</v>
      </c>
      <c r="O161" s="3">
        <v>73.989999999999995</v>
      </c>
      <c r="P161" s="3">
        <v>104.50831100000001</v>
      </c>
      <c r="Q161" s="3">
        <v>18.24172415</v>
      </c>
      <c r="R161" s="3">
        <v>59.17</v>
      </c>
      <c r="S161" s="3">
        <v>120.1530467</v>
      </c>
      <c r="T161" s="3">
        <v>34.798828999999998</v>
      </c>
      <c r="U161" s="3"/>
      <c r="V161" s="3">
        <v>9</v>
      </c>
      <c r="W161" s="3">
        <v>17.1922</v>
      </c>
      <c r="X161" s="3">
        <v>62.938784890000001</v>
      </c>
      <c r="Y161" s="3"/>
    </row>
    <row r="162" spans="1:25" x14ac:dyDescent="0.3">
      <c r="A162" s="2" t="s">
        <v>204</v>
      </c>
      <c r="B162" s="2" t="s">
        <v>150</v>
      </c>
      <c r="C162" s="2" t="s">
        <v>143</v>
      </c>
      <c r="D162" s="2" t="s">
        <v>151</v>
      </c>
      <c r="E162" s="2">
        <v>1</v>
      </c>
      <c r="F162" s="2">
        <v>3</v>
      </c>
      <c r="G162" s="2">
        <v>10</v>
      </c>
      <c r="H162" s="2">
        <v>1</v>
      </c>
      <c r="I162" s="3">
        <v>45.55</v>
      </c>
      <c r="J162" s="3">
        <v>9.43</v>
      </c>
      <c r="K162" s="3">
        <v>21</v>
      </c>
      <c r="L162" s="3">
        <v>31</v>
      </c>
      <c r="M162" s="3">
        <v>12.51</v>
      </c>
      <c r="N162" s="3">
        <v>35.5</v>
      </c>
      <c r="O162" s="3">
        <v>74.64</v>
      </c>
      <c r="P162" s="3">
        <v>97.797805969999999</v>
      </c>
      <c r="Q162" s="3">
        <v>18.05698203</v>
      </c>
      <c r="R162" s="3">
        <v>58.27</v>
      </c>
      <c r="S162" s="3">
        <v>118.0244557</v>
      </c>
      <c r="T162" s="3">
        <v>35.287659320000003</v>
      </c>
      <c r="U162" s="3"/>
      <c r="V162" s="3">
        <v>4</v>
      </c>
      <c r="W162" s="3">
        <v>14.498799999999999</v>
      </c>
      <c r="X162" s="3">
        <v>56.458074860000004</v>
      </c>
      <c r="Y162" s="3"/>
    </row>
    <row r="163" spans="1:25" x14ac:dyDescent="0.3">
      <c r="A163" s="2" t="s">
        <v>205</v>
      </c>
      <c r="B163" s="2" t="s">
        <v>150</v>
      </c>
      <c r="C163" s="2" t="s">
        <v>143</v>
      </c>
      <c r="D163" s="2" t="s">
        <v>151</v>
      </c>
      <c r="E163" s="2">
        <v>1</v>
      </c>
      <c r="F163" s="2">
        <v>3</v>
      </c>
      <c r="G163" s="2">
        <v>10</v>
      </c>
      <c r="H163" s="2">
        <v>2</v>
      </c>
      <c r="I163" s="3">
        <v>51.38</v>
      </c>
      <c r="J163" s="3">
        <v>8</v>
      </c>
      <c r="K163" s="3">
        <v>21</v>
      </c>
      <c r="L163" s="3">
        <v>32</v>
      </c>
      <c r="M163" s="3">
        <v>12.84</v>
      </c>
      <c r="N163" s="3">
        <v>35.200000000000003</v>
      </c>
      <c r="O163" s="3">
        <v>67.5</v>
      </c>
      <c r="P163" s="3">
        <v>102.75071130000001</v>
      </c>
      <c r="Q163" s="3">
        <v>17.624647509999999</v>
      </c>
      <c r="R163" s="3">
        <v>50.73</v>
      </c>
      <c r="S163" s="3">
        <v>120.41460069999999</v>
      </c>
      <c r="T163" s="3">
        <v>39.564824020000003</v>
      </c>
      <c r="U163" s="3"/>
      <c r="V163" s="3">
        <v>4.5</v>
      </c>
      <c r="W163" s="3">
        <v>13.7484</v>
      </c>
      <c r="X163" s="3">
        <v>58.132742800000003</v>
      </c>
      <c r="Y163" s="3"/>
    </row>
    <row r="164" spans="1:25" x14ac:dyDescent="0.3">
      <c r="A164" s="2" t="s">
        <v>206</v>
      </c>
      <c r="B164" s="2" t="s">
        <v>150</v>
      </c>
      <c r="C164" s="2" t="s">
        <v>143</v>
      </c>
      <c r="D164" s="2" t="s">
        <v>151</v>
      </c>
      <c r="E164" s="2">
        <v>1</v>
      </c>
      <c r="F164" s="2">
        <v>3</v>
      </c>
      <c r="G164" s="2">
        <v>10</v>
      </c>
      <c r="H164" s="2">
        <v>3</v>
      </c>
      <c r="I164" s="3">
        <v>43.04</v>
      </c>
      <c r="J164" s="3">
        <v>11.36</v>
      </c>
      <c r="K164" s="3">
        <v>23</v>
      </c>
      <c r="L164" s="3">
        <v>25</v>
      </c>
      <c r="M164" s="3">
        <v>11.81</v>
      </c>
      <c r="N164" s="3">
        <v>36.5</v>
      </c>
      <c r="O164" s="3">
        <v>68.010000000000005</v>
      </c>
      <c r="P164" s="3">
        <v>94.043644110000002</v>
      </c>
      <c r="Q164" s="3">
        <v>18.576248280000002</v>
      </c>
      <c r="R164" s="3">
        <v>57.52</v>
      </c>
      <c r="S164" s="3">
        <v>116.32260049999999</v>
      </c>
      <c r="T164" s="3">
        <v>38.089522180000003</v>
      </c>
      <c r="U164" s="3"/>
      <c r="V164" s="3">
        <v>5.5</v>
      </c>
      <c r="W164" s="3">
        <v>17.486999999999998</v>
      </c>
      <c r="X164" s="3">
        <v>53.207850909999998</v>
      </c>
      <c r="Y164" s="3"/>
    </row>
    <row r="165" spans="1:25" x14ac:dyDescent="0.3">
      <c r="A165" s="2" t="s">
        <v>207</v>
      </c>
      <c r="B165" s="2" t="s">
        <v>150</v>
      </c>
      <c r="C165" s="2" t="s">
        <v>143</v>
      </c>
      <c r="D165" s="2" t="s">
        <v>151</v>
      </c>
      <c r="E165" s="2">
        <v>1</v>
      </c>
      <c r="F165" s="2">
        <v>3</v>
      </c>
      <c r="G165" s="2">
        <v>10</v>
      </c>
      <c r="H165" s="2">
        <v>4</v>
      </c>
      <c r="I165" s="3">
        <v>53.87</v>
      </c>
      <c r="J165" s="3">
        <v>11.15</v>
      </c>
      <c r="K165" s="3">
        <v>24</v>
      </c>
      <c r="L165" s="3">
        <v>26</v>
      </c>
      <c r="M165" s="3">
        <v>11.87</v>
      </c>
      <c r="N165" s="3">
        <v>31.1</v>
      </c>
      <c r="O165" s="3">
        <v>64.09</v>
      </c>
      <c r="P165" s="3">
        <v>97.172324320000001</v>
      </c>
      <c r="Q165" s="3">
        <v>17.940390189999999</v>
      </c>
      <c r="R165" s="3">
        <v>50.43</v>
      </c>
      <c r="S165" s="3">
        <v>112.4951186</v>
      </c>
      <c r="T165" s="3">
        <v>34.343157980000001</v>
      </c>
      <c r="U165" s="3"/>
      <c r="V165" s="3">
        <v>5</v>
      </c>
      <c r="W165" s="3">
        <v>15.9594</v>
      </c>
      <c r="X165" s="3">
        <v>48.130789780000001</v>
      </c>
      <c r="Y165" s="3"/>
    </row>
    <row r="166" spans="1:25" x14ac:dyDescent="0.3">
      <c r="A166" s="2" t="s">
        <v>208</v>
      </c>
      <c r="B166" s="2" t="s">
        <v>150</v>
      </c>
      <c r="C166" s="2" t="s">
        <v>143</v>
      </c>
      <c r="D166" s="2" t="s">
        <v>151</v>
      </c>
      <c r="E166" s="2">
        <v>1</v>
      </c>
      <c r="F166" s="2">
        <v>3</v>
      </c>
      <c r="G166" s="2">
        <v>10</v>
      </c>
      <c r="H166" s="2">
        <v>5</v>
      </c>
      <c r="I166" s="3">
        <v>33.67</v>
      </c>
      <c r="J166" s="3">
        <v>10.11</v>
      </c>
      <c r="K166" s="3">
        <v>22</v>
      </c>
      <c r="L166" s="3">
        <v>21</v>
      </c>
      <c r="M166" s="3">
        <v>11.69</v>
      </c>
      <c r="N166" s="3">
        <v>34.5</v>
      </c>
      <c r="O166" s="3">
        <v>78.69</v>
      </c>
      <c r="P166" s="3">
        <v>103.99645870000001</v>
      </c>
      <c r="Q166" s="3">
        <v>17.57171022</v>
      </c>
      <c r="R166" s="3">
        <v>51.86</v>
      </c>
      <c r="S166" s="3">
        <v>120.7560936</v>
      </c>
      <c r="T166" s="3">
        <v>36.958187180000003</v>
      </c>
      <c r="U166" s="3"/>
      <c r="V166" s="3">
        <v>5.5</v>
      </c>
      <c r="W166" s="3">
        <v>17.942599999999999</v>
      </c>
      <c r="X166" s="3">
        <v>50.733066000000001</v>
      </c>
      <c r="Y166" s="3"/>
    </row>
    <row r="167" spans="1:25" x14ac:dyDescent="0.3">
      <c r="A167" s="2" t="s">
        <v>209</v>
      </c>
      <c r="B167" s="2" t="s">
        <v>150</v>
      </c>
      <c r="C167" s="2" t="s">
        <v>143</v>
      </c>
      <c r="D167" s="2" t="s">
        <v>157</v>
      </c>
      <c r="E167" s="2">
        <v>1</v>
      </c>
      <c r="F167" s="2">
        <v>3</v>
      </c>
      <c r="G167" s="2">
        <v>10</v>
      </c>
      <c r="H167" s="2">
        <v>1</v>
      </c>
      <c r="I167" s="3">
        <v>35.5</v>
      </c>
      <c r="J167" s="3">
        <v>8.77</v>
      </c>
      <c r="K167" s="3">
        <v>28</v>
      </c>
      <c r="L167" s="3">
        <v>16</v>
      </c>
      <c r="M167" s="3">
        <v>14.68</v>
      </c>
      <c r="N167" s="3">
        <v>24.5</v>
      </c>
      <c r="O167" s="3">
        <v>61.69</v>
      </c>
      <c r="P167" s="3">
        <v>88.479023440000006</v>
      </c>
      <c r="Q167" s="3">
        <v>19.216768720000001</v>
      </c>
      <c r="R167" s="3">
        <v>51.74</v>
      </c>
      <c r="S167" s="3">
        <v>109.238899</v>
      </c>
      <c r="T167" s="3">
        <v>35.598103879999996</v>
      </c>
      <c r="U167" s="3"/>
      <c r="V167" s="3">
        <v>3.5</v>
      </c>
      <c r="W167" s="3">
        <v>18.8538</v>
      </c>
      <c r="X167" s="3">
        <v>63.488434310000002</v>
      </c>
      <c r="Y167" s="3"/>
    </row>
    <row r="168" spans="1:25" x14ac:dyDescent="0.3">
      <c r="A168" s="2" t="s">
        <v>210</v>
      </c>
      <c r="B168" s="2" t="s">
        <v>150</v>
      </c>
      <c r="C168" s="2" t="s">
        <v>143</v>
      </c>
      <c r="D168" s="2" t="s">
        <v>157</v>
      </c>
      <c r="E168" s="2">
        <v>1</v>
      </c>
      <c r="F168" s="2">
        <v>3</v>
      </c>
      <c r="G168" s="2">
        <v>10</v>
      </c>
      <c r="H168" s="2">
        <v>2</v>
      </c>
      <c r="I168" s="3">
        <v>41.33</v>
      </c>
      <c r="J168" s="3">
        <v>10.6</v>
      </c>
      <c r="K168" s="3">
        <v>26</v>
      </c>
      <c r="L168" s="3">
        <v>22</v>
      </c>
      <c r="M168" s="3">
        <v>14.26</v>
      </c>
      <c r="N168" s="3">
        <v>38.4</v>
      </c>
      <c r="O168" s="3">
        <v>64.39</v>
      </c>
      <c r="P168" s="3">
        <v>82.243806050000003</v>
      </c>
      <c r="Q168" s="3">
        <v>19.71031456</v>
      </c>
      <c r="R168" s="3">
        <v>55.59</v>
      </c>
      <c r="S168" s="3">
        <v>106.5790056</v>
      </c>
      <c r="T168" s="3">
        <v>36.13216019</v>
      </c>
      <c r="U168" s="3"/>
      <c r="V168" s="3">
        <v>5</v>
      </c>
      <c r="W168" s="3">
        <v>18.652799999999999</v>
      </c>
      <c r="X168" s="3">
        <v>59.506223890000001</v>
      </c>
      <c r="Y168" s="3"/>
    </row>
    <row r="169" spans="1:25" x14ac:dyDescent="0.3">
      <c r="A169" s="2" t="s">
        <v>211</v>
      </c>
      <c r="B169" s="2" t="s">
        <v>150</v>
      </c>
      <c r="C169" s="2" t="s">
        <v>143</v>
      </c>
      <c r="D169" s="2" t="s">
        <v>157</v>
      </c>
      <c r="E169" s="2">
        <v>1</v>
      </c>
      <c r="F169" s="2">
        <v>3</v>
      </c>
      <c r="G169" s="2">
        <v>10</v>
      </c>
      <c r="H169" s="2">
        <v>3</v>
      </c>
      <c r="I169" s="3">
        <v>43.24</v>
      </c>
      <c r="J169" s="3">
        <v>7.78</v>
      </c>
      <c r="K169" s="3">
        <v>23</v>
      </c>
      <c r="L169" s="3">
        <v>26</v>
      </c>
      <c r="M169" s="3">
        <v>14.01</v>
      </c>
      <c r="N169" s="3">
        <v>28.5</v>
      </c>
      <c r="O169" s="3">
        <v>64.09</v>
      </c>
      <c r="P169" s="3">
        <v>94.181892009999999</v>
      </c>
      <c r="Q169" s="3">
        <v>19.882942440000001</v>
      </c>
      <c r="R169" s="3">
        <v>51.49</v>
      </c>
      <c r="S169" s="3">
        <v>111.1813081</v>
      </c>
      <c r="T169" s="3">
        <v>30.55424193</v>
      </c>
      <c r="U169" s="3"/>
      <c r="V169" s="3">
        <v>4.5</v>
      </c>
      <c r="W169" s="3">
        <v>21.105</v>
      </c>
      <c r="X169" s="3">
        <v>54.83634361</v>
      </c>
      <c r="Y169" s="3"/>
    </row>
    <row r="170" spans="1:25" x14ac:dyDescent="0.3">
      <c r="A170" s="2" t="s">
        <v>212</v>
      </c>
      <c r="B170" s="2" t="s">
        <v>150</v>
      </c>
      <c r="C170" s="2" t="s">
        <v>143</v>
      </c>
      <c r="D170" s="2" t="s">
        <v>157</v>
      </c>
      <c r="E170" s="2">
        <v>1</v>
      </c>
      <c r="F170" s="2">
        <v>3</v>
      </c>
      <c r="G170" s="2">
        <v>10</v>
      </c>
      <c r="H170" s="2">
        <v>4</v>
      </c>
      <c r="I170" s="3">
        <v>42.34</v>
      </c>
      <c r="J170" s="3">
        <v>10.52</v>
      </c>
      <c r="K170" s="3">
        <v>24</v>
      </c>
      <c r="L170" s="3">
        <v>17</v>
      </c>
      <c r="M170" s="3">
        <v>12.55</v>
      </c>
      <c r="N170" s="3">
        <v>26.4</v>
      </c>
      <c r="O170" s="3">
        <v>61.41</v>
      </c>
      <c r="P170" s="3">
        <v>81.795484020000004</v>
      </c>
      <c r="Q170" s="3">
        <v>20.74228772</v>
      </c>
      <c r="R170" s="3">
        <v>53.48</v>
      </c>
      <c r="S170" s="3">
        <v>119.7263426</v>
      </c>
      <c r="T170" s="3">
        <v>31.137681350000001</v>
      </c>
      <c r="U170" s="3"/>
      <c r="V170" s="3">
        <v>2.5</v>
      </c>
      <c r="W170" s="3">
        <v>20.421600000000009</v>
      </c>
      <c r="X170" s="3">
        <v>65.515491580000003</v>
      </c>
      <c r="Y170" s="3"/>
    </row>
    <row r="171" spans="1:25" x14ac:dyDescent="0.3">
      <c r="A171" s="2" t="s">
        <v>213</v>
      </c>
      <c r="B171" s="2" t="s">
        <v>150</v>
      </c>
      <c r="C171" s="2" t="s">
        <v>143</v>
      </c>
      <c r="D171" s="2" t="s">
        <v>157</v>
      </c>
      <c r="E171" s="2">
        <v>1</v>
      </c>
      <c r="F171" s="2">
        <v>3</v>
      </c>
      <c r="G171" s="2">
        <v>10</v>
      </c>
      <c r="H171" s="2">
        <v>5</v>
      </c>
      <c r="I171" s="3">
        <v>37.08</v>
      </c>
      <c r="J171" s="3">
        <v>8.3000000000000007</v>
      </c>
      <c r="K171" s="3">
        <v>27</v>
      </c>
      <c r="L171" s="3">
        <v>23</v>
      </c>
      <c r="M171" s="3">
        <v>12.18</v>
      </c>
      <c r="N171" s="3">
        <v>31.6</v>
      </c>
      <c r="O171" s="3">
        <v>61.63</v>
      </c>
      <c r="P171" s="3">
        <v>94.308784299999999</v>
      </c>
      <c r="Q171" s="3">
        <v>23.025084150000001</v>
      </c>
      <c r="R171" s="3">
        <v>56.72</v>
      </c>
      <c r="S171" s="3">
        <v>112.3262943</v>
      </c>
      <c r="T171" s="3">
        <v>36.063549459999997</v>
      </c>
      <c r="U171" s="3"/>
      <c r="V171" s="3">
        <v>4</v>
      </c>
      <c r="W171" s="3">
        <v>14.177199999999999</v>
      </c>
      <c r="X171" s="3">
        <v>62.365589319999998</v>
      </c>
      <c r="Y171" s="3"/>
    </row>
    <row r="172" spans="1:25" x14ac:dyDescent="0.3">
      <c r="A172" s="2" t="s">
        <v>214</v>
      </c>
      <c r="B172" s="2" t="s">
        <v>150</v>
      </c>
      <c r="C172" s="2" t="s">
        <v>143</v>
      </c>
      <c r="D172" s="2" t="s">
        <v>163</v>
      </c>
      <c r="E172" s="2">
        <v>1</v>
      </c>
      <c r="F172" s="2">
        <v>3</v>
      </c>
      <c r="G172" s="2">
        <v>10</v>
      </c>
      <c r="H172" s="2">
        <v>1</v>
      </c>
      <c r="I172" s="3">
        <v>38.54</v>
      </c>
      <c r="J172" s="3">
        <v>10.82</v>
      </c>
      <c r="K172" s="3">
        <v>28</v>
      </c>
      <c r="L172" s="3">
        <v>24</v>
      </c>
      <c r="M172" s="3">
        <v>11.16</v>
      </c>
      <c r="N172" s="3">
        <v>18.5</v>
      </c>
      <c r="O172" s="3">
        <v>63.97</v>
      </c>
      <c r="P172" s="3">
        <v>94.935624930000003</v>
      </c>
      <c r="Q172" s="3">
        <v>14.64430606</v>
      </c>
      <c r="R172" s="3">
        <v>57.04</v>
      </c>
      <c r="S172" s="3">
        <v>116.129957</v>
      </c>
      <c r="T172" s="3">
        <v>37.714608579999997</v>
      </c>
      <c r="U172" s="3"/>
      <c r="V172" s="3">
        <v>4</v>
      </c>
      <c r="W172" s="3">
        <v>16.75</v>
      </c>
      <c r="X172" s="3">
        <v>48.994563229999997</v>
      </c>
      <c r="Y172" s="3"/>
    </row>
    <row r="173" spans="1:25" x14ac:dyDescent="0.3">
      <c r="A173" s="2" t="s">
        <v>215</v>
      </c>
      <c r="B173" s="2" t="s">
        <v>150</v>
      </c>
      <c r="C173" s="2" t="s">
        <v>143</v>
      </c>
      <c r="D173" s="2" t="s">
        <v>163</v>
      </c>
      <c r="E173" s="2">
        <v>1</v>
      </c>
      <c r="F173" s="2">
        <v>3</v>
      </c>
      <c r="G173" s="2">
        <v>10</v>
      </c>
      <c r="H173" s="2">
        <v>2</v>
      </c>
      <c r="I173" s="3">
        <v>32.96</v>
      </c>
      <c r="J173" s="3">
        <v>11.2</v>
      </c>
      <c r="K173" s="3">
        <v>27</v>
      </c>
      <c r="L173" s="3">
        <v>23.5</v>
      </c>
      <c r="M173" s="3">
        <v>9.9700000000000006</v>
      </c>
      <c r="N173" s="3">
        <v>26.4</v>
      </c>
      <c r="O173" s="3">
        <v>78.63</v>
      </c>
      <c r="P173" s="3">
        <v>96.355416969999993</v>
      </c>
      <c r="Q173" s="3">
        <v>12.28550772</v>
      </c>
      <c r="R173" s="3">
        <v>57.19</v>
      </c>
      <c r="S173" s="3">
        <v>117.32504950000001</v>
      </c>
      <c r="T173" s="3">
        <v>31.455877749999999</v>
      </c>
      <c r="U173" s="3"/>
      <c r="V173" s="3">
        <v>5</v>
      </c>
      <c r="W173" s="3">
        <v>13.7216</v>
      </c>
      <c r="X173" s="3">
        <v>44.36152637</v>
      </c>
      <c r="Y173" s="3"/>
    </row>
    <row r="174" spans="1:25" x14ac:dyDescent="0.3">
      <c r="A174" s="2" t="s">
        <v>216</v>
      </c>
      <c r="B174" s="2" t="s">
        <v>150</v>
      </c>
      <c r="C174" s="2" t="s">
        <v>143</v>
      </c>
      <c r="D174" s="2" t="s">
        <v>163</v>
      </c>
      <c r="E174" s="2">
        <v>1</v>
      </c>
      <c r="F174" s="2">
        <v>3</v>
      </c>
      <c r="G174" s="2">
        <v>10</v>
      </c>
      <c r="H174" s="2">
        <v>3</v>
      </c>
      <c r="I174" s="3">
        <v>36.299999999999997</v>
      </c>
      <c r="J174" s="3">
        <v>10.35</v>
      </c>
      <c r="K174" s="3">
        <v>23</v>
      </c>
      <c r="L174" s="3">
        <v>26</v>
      </c>
      <c r="M174" s="3">
        <v>10.71</v>
      </c>
      <c r="N174" s="3">
        <v>30.1</v>
      </c>
      <c r="O174" s="3">
        <v>72.09</v>
      </c>
      <c r="P174" s="3"/>
      <c r="Q174" s="3">
        <v>14.670984969999999</v>
      </c>
      <c r="R174" s="3">
        <v>57.71</v>
      </c>
      <c r="S174" s="3">
        <v>115.93180719999999</v>
      </c>
      <c r="T174" s="3">
        <v>33.886761919999998</v>
      </c>
      <c r="U174" s="3"/>
      <c r="V174" s="3">
        <v>4.5</v>
      </c>
      <c r="W174" s="3">
        <v>14.4854</v>
      </c>
      <c r="X174" s="3">
        <v>52.290572079999997</v>
      </c>
      <c r="Y174" s="3"/>
    </row>
    <row r="175" spans="1:25" x14ac:dyDescent="0.3">
      <c r="A175" s="2" t="s">
        <v>217</v>
      </c>
      <c r="B175" s="2" t="s">
        <v>150</v>
      </c>
      <c r="C175" s="2" t="s">
        <v>143</v>
      </c>
      <c r="D175" s="2" t="s">
        <v>163</v>
      </c>
      <c r="E175" s="2">
        <v>1</v>
      </c>
      <c r="F175" s="2">
        <v>3</v>
      </c>
      <c r="G175" s="2">
        <v>10</v>
      </c>
      <c r="H175" s="2">
        <v>4</v>
      </c>
      <c r="I175" s="3">
        <v>40.090000000000003</v>
      </c>
      <c r="J175" s="3">
        <v>10.82</v>
      </c>
      <c r="K175" s="3">
        <v>24</v>
      </c>
      <c r="L175" s="3">
        <v>22</v>
      </c>
      <c r="M175" s="3">
        <v>10.1</v>
      </c>
      <c r="N175" s="3">
        <v>27.5</v>
      </c>
      <c r="O175" s="3">
        <v>65.56</v>
      </c>
      <c r="P175" s="3">
        <v>96.519576049999998</v>
      </c>
      <c r="Q175" s="3">
        <v>15.85252346</v>
      </c>
      <c r="R175" s="3"/>
      <c r="S175" s="3">
        <v>110.7379791</v>
      </c>
      <c r="T175" s="3">
        <v>33.126323370000001</v>
      </c>
      <c r="U175" s="3"/>
      <c r="V175" s="3">
        <v>4</v>
      </c>
      <c r="W175" s="3">
        <v>13.507199999999999</v>
      </c>
      <c r="X175" s="3">
        <v>49.720604309999999</v>
      </c>
      <c r="Y175" s="3"/>
    </row>
    <row r="176" spans="1:25" x14ac:dyDescent="0.3">
      <c r="A176" s="2" t="s">
        <v>218</v>
      </c>
      <c r="B176" s="2" t="s">
        <v>150</v>
      </c>
      <c r="C176" s="2" t="s">
        <v>143</v>
      </c>
      <c r="D176" s="2" t="s">
        <v>163</v>
      </c>
      <c r="E176" s="2">
        <v>1</v>
      </c>
      <c r="F176" s="2">
        <v>3</v>
      </c>
      <c r="G176" s="2">
        <v>10</v>
      </c>
      <c r="H176" s="2">
        <v>5</v>
      </c>
      <c r="I176" s="3">
        <v>21.88</v>
      </c>
      <c r="J176" s="3">
        <v>10.31</v>
      </c>
      <c r="K176" s="3">
        <v>21</v>
      </c>
      <c r="L176" s="3">
        <v>22</v>
      </c>
      <c r="M176" s="3">
        <v>10.08</v>
      </c>
      <c r="N176" s="3">
        <v>26.9</v>
      </c>
      <c r="O176" s="3">
        <v>66.61</v>
      </c>
      <c r="P176" s="3">
        <v>97.211593440000001</v>
      </c>
      <c r="Q176" s="3">
        <v>14.73658373</v>
      </c>
      <c r="R176" s="3"/>
      <c r="S176" s="3">
        <v>111.27904119999999</v>
      </c>
      <c r="T176" s="3">
        <v>37.088612810000001</v>
      </c>
      <c r="U176" s="3"/>
      <c r="V176" s="3">
        <v>3.5</v>
      </c>
      <c r="W176" s="3">
        <v>13.4</v>
      </c>
      <c r="X176" s="3">
        <v>51.069127659999999</v>
      </c>
      <c r="Y176" s="3"/>
    </row>
    <row r="177" spans="1:25" x14ac:dyDescent="0.3">
      <c r="A177" s="2" t="s">
        <v>219</v>
      </c>
      <c r="B177" s="2" t="s">
        <v>150</v>
      </c>
      <c r="C177" s="2" t="s">
        <v>143</v>
      </c>
      <c r="D177" s="2" t="s">
        <v>169</v>
      </c>
      <c r="E177" s="2">
        <v>1</v>
      </c>
      <c r="F177" s="2">
        <v>3</v>
      </c>
      <c r="G177" s="2">
        <v>10</v>
      </c>
      <c r="H177" s="2">
        <v>1</v>
      </c>
      <c r="I177" s="3">
        <v>42.22</v>
      </c>
      <c r="J177" s="3">
        <v>11.07</v>
      </c>
      <c r="K177" s="3">
        <v>24</v>
      </c>
      <c r="L177" s="3">
        <v>26</v>
      </c>
      <c r="M177" s="3">
        <v>17.13</v>
      </c>
      <c r="N177" s="3">
        <v>22</v>
      </c>
      <c r="O177" s="3">
        <v>68.17</v>
      </c>
      <c r="P177" s="3">
        <v>96.652355369999995</v>
      </c>
      <c r="Q177" s="3">
        <v>25.7231977</v>
      </c>
      <c r="R177" s="3">
        <v>63.49</v>
      </c>
      <c r="S177" s="3">
        <v>120.3238537</v>
      </c>
      <c r="T177" s="3">
        <v>35.334340240000003</v>
      </c>
      <c r="U177" s="3"/>
      <c r="V177" s="3">
        <v>4</v>
      </c>
      <c r="W177" s="3">
        <v>15.5306</v>
      </c>
      <c r="X177" s="3">
        <v>44.301287610000003</v>
      </c>
      <c r="Y177" s="3"/>
    </row>
    <row r="178" spans="1:25" x14ac:dyDescent="0.3">
      <c r="A178" s="2" t="s">
        <v>220</v>
      </c>
      <c r="B178" s="2" t="s">
        <v>150</v>
      </c>
      <c r="C178" s="2" t="s">
        <v>143</v>
      </c>
      <c r="D178" s="2" t="s">
        <v>169</v>
      </c>
      <c r="E178" s="2">
        <v>1</v>
      </c>
      <c r="F178" s="2">
        <v>3</v>
      </c>
      <c r="G178" s="2">
        <v>10</v>
      </c>
      <c r="H178" s="2">
        <v>2</v>
      </c>
      <c r="I178" s="3">
        <v>36.11</v>
      </c>
      <c r="J178" s="3">
        <v>12.01</v>
      </c>
      <c r="K178" s="3">
        <v>25</v>
      </c>
      <c r="L178" s="3">
        <v>26</v>
      </c>
      <c r="M178" s="3">
        <v>9.5</v>
      </c>
      <c r="N178" s="3">
        <v>26.7</v>
      </c>
      <c r="O178" s="3">
        <v>66.78</v>
      </c>
      <c r="P178" s="3">
        <v>101.0081952</v>
      </c>
      <c r="Q178" s="3">
        <v>22.361471330000001</v>
      </c>
      <c r="R178" s="3">
        <v>68.33</v>
      </c>
      <c r="S178" s="3">
        <v>112.7071224</v>
      </c>
      <c r="T178" s="3">
        <v>33.236192619999997</v>
      </c>
      <c r="U178" s="3"/>
      <c r="V178" s="3">
        <v>4.5</v>
      </c>
      <c r="W178" s="3">
        <v>17.2592</v>
      </c>
      <c r="X178" s="3">
        <v>44.121445620000003</v>
      </c>
      <c r="Y178" s="3"/>
    </row>
    <row r="179" spans="1:25" x14ac:dyDescent="0.3">
      <c r="A179" s="2" t="s">
        <v>221</v>
      </c>
      <c r="B179" s="2" t="s">
        <v>150</v>
      </c>
      <c r="C179" s="2" t="s">
        <v>143</v>
      </c>
      <c r="D179" s="2" t="s">
        <v>169</v>
      </c>
      <c r="E179" s="2">
        <v>1</v>
      </c>
      <c r="F179" s="2">
        <v>3</v>
      </c>
      <c r="G179" s="2">
        <v>10</v>
      </c>
      <c r="H179" s="2">
        <v>3</v>
      </c>
      <c r="I179" s="3">
        <v>38.729999999999997</v>
      </c>
      <c r="J179" s="3">
        <v>11.6</v>
      </c>
      <c r="K179" s="3">
        <v>24</v>
      </c>
      <c r="L179" s="3">
        <v>22</v>
      </c>
      <c r="M179" s="3">
        <v>19.79</v>
      </c>
      <c r="N179" s="3">
        <v>23.9</v>
      </c>
      <c r="O179" s="3">
        <v>66.33</v>
      </c>
      <c r="P179" s="3">
        <v>91.558316520000005</v>
      </c>
      <c r="Q179" s="3">
        <v>25.369385090000002</v>
      </c>
      <c r="R179" s="3">
        <v>65.41</v>
      </c>
      <c r="S179" s="3">
        <v>117.0401221</v>
      </c>
      <c r="T179" s="3">
        <v>41.507322250000001</v>
      </c>
      <c r="U179" s="3"/>
      <c r="V179" s="3">
        <v>4</v>
      </c>
      <c r="W179" s="3">
        <v>14.5524</v>
      </c>
      <c r="X179" s="3">
        <v>38.20511423</v>
      </c>
      <c r="Y179" s="3"/>
    </row>
    <row r="180" spans="1:25" x14ac:dyDescent="0.3">
      <c r="A180" s="2" t="s">
        <v>222</v>
      </c>
      <c r="B180" s="2" t="s">
        <v>150</v>
      </c>
      <c r="C180" s="2" t="s">
        <v>143</v>
      </c>
      <c r="D180" s="2" t="s">
        <v>169</v>
      </c>
      <c r="E180" s="2">
        <v>1</v>
      </c>
      <c r="F180" s="2">
        <v>3</v>
      </c>
      <c r="G180" s="2">
        <v>10</v>
      </c>
      <c r="H180" s="2">
        <v>4</v>
      </c>
      <c r="I180" s="3">
        <v>37.9</v>
      </c>
      <c r="J180" s="3">
        <v>15.64</v>
      </c>
      <c r="K180" s="3">
        <v>22</v>
      </c>
      <c r="L180" s="3">
        <v>21</v>
      </c>
      <c r="M180" s="3">
        <v>13.21</v>
      </c>
      <c r="N180" s="3">
        <v>24.1</v>
      </c>
      <c r="O180" s="3">
        <v>67.03</v>
      </c>
      <c r="P180" s="3">
        <v>89.041401590000007</v>
      </c>
      <c r="Q180" s="3">
        <v>26.903763680000001</v>
      </c>
      <c r="R180" s="3">
        <v>59.19</v>
      </c>
      <c r="S180" s="3">
        <v>114.0990894</v>
      </c>
      <c r="T180" s="3">
        <v>38.254291260000002</v>
      </c>
      <c r="U180" s="3"/>
      <c r="V180" s="3">
        <v>5</v>
      </c>
      <c r="W180" s="3">
        <v>16.9376</v>
      </c>
      <c r="X180" s="3">
        <v>47.48613331</v>
      </c>
      <c r="Y180" s="3"/>
    </row>
    <row r="181" spans="1:25" x14ac:dyDescent="0.3">
      <c r="A181" s="2" t="s">
        <v>223</v>
      </c>
      <c r="B181" s="2" t="s">
        <v>150</v>
      </c>
      <c r="C181" s="2" t="s">
        <v>143</v>
      </c>
      <c r="D181" s="2" t="s">
        <v>169</v>
      </c>
      <c r="E181" s="2">
        <v>1</v>
      </c>
      <c r="F181" s="2">
        <v>3</v>
      </c>
      <c r="G181" s="2">
        <v>10</v>
      </c>
      <c r="H181" s="2">
        <v>5</v>
      </c>
      <c r="I181" s="3">
        <v>41.86</v>
      </c>
      <c r="J181" s="3">
        <v>13.18</v>
      </c>
      <c r="K181" s="3">
        <v>24</v>
      </c>
      <c r="L181" s="3">
        <v>31</v>
      </c>
      <c r="M181" s="3">
        <v>15.5</v>
      </c>
      <c r="N181" s="3">
        <v>20.2</v>
      </c>
      <c r="O181" s="3">
        <v>63.22</v>
      </c>
      <c r="P181" s="3">
        <v>88.528598209999998</v>
      </c>
      <c r="Q181" s="3">
        <v>24.538088760000001</v>
      </c>
      <c r="R181" s="3">
        <v>61.79</v>
      </c>
      <c r="S181" s="3">
        <v>115.1555912</v>
      </c>
      <c r="T181" s="3">
        <v>41.097942770000003</v>
      </c>
      <c r="U181" s="3"/>
      <c r="V181" s="3">
        <v>5</v>
      </c>
      <c r="W181" s="3">
        <v>18.049800000000001</v>
      </c>
      <c r="X181" s="3">
        <v>40.4804514</v>
      </c>
      <c r="Y181" s="3"/>
    </row>
    <row r="182" spans="1:25" x14ac:dyDescent="0.3">
      <c r="A182" s="2" t="s">
        <v>224</v>
      </c>
      <c r="B182" s="2" t="s">
        <v>30</v>
      </c>
      <c r="C182" s="2" t="s">
        <v>143</v>
      </c>
      <c r="D182" s="2" t="s">
        <v>144</v>
      </c>
      <c r="E182" s="2">
        <v>1</v>
      </c>
      <c r="F182" s="2">
        <v>4</v>
      </c>
      <c r="G182" s="2">
        <v>14</v>
      </c>
      <c r="H182" s="2">
        <v>1</v>
      </c>
      <c r="I182" s="3">
        <v>39.76</v>
      </c>
      <c r="J182" s="3">
        <v>9.66</v>
      </c>
      <c r="K182" s="3">
        <v>19</v>
      </c>
      <c r="L182" s="3">
        <v>22</v>
      </c>
      <c r="M182" s="3">
        <v>18.71</v>
      </c>
      <c r="N182" s="3">
        <v>23.9</v>
      </c>
      <c r="O182" s="3">
        <v>69.989999999999995</v>
      </c>
      <c r="P182" s="3">
        <v>103.23220360000001</v>
      </c>
      <c r="Q182" s="3">
        <v>16.25148609</v>
      </c>
      <c r="R182" s="3">
        <v>60.16</v>
      </c>
      <c r="S182" s="3">
        <v>120.3895799</v>
      </c>
      <c r="T182" s="3">
        <v>34.929154009999998</v>
      </c>
      <c r="U182" s="3"/>
      <c r="V182" s="3">
        <v>9.5</v>
      </c>
      <c r="W182" s="3">
        <v>23.5974</v>
      </c>
      <c r="X182" s="3">
        <v>77.73377078</v>
      </c>
      <c r="Y182" s="3">
        <v>0.17337502776133731</v>
      </c>
    </row>
    <row r="183" spans="1:25" x14ac:dyDescent="0.3">
      <c r="A183" s="2" t="s">
        <v>225</v>
      </c>
      <c r="B183" s="2" t="s">
        <v>30</v>
      </c>
      <c r="C183" s="2" t="s">
        <v>143</v>
      </c>
      <c r="D183" s="2" t="s">
        <v>144</v>
      </c>
      <c r="E183" s="2">
        <v>1</v>
      </c>
      <c r="F183" s="2">
        <v>4</v>
      </c>
      <c r="G183" s="2">
        <v>14</v>
      </c>
      <c r="H183" s="2">
        <v>2</v>
      </c>
      <c r="I183" s="3"/>
      <c r="J183" s="3">
        <v>7.06</v>
      </c>
      <c r="K183" s="3">
        <v>21</v>
      </c>
      <c r="L183" s="3">
        <v>27</v>
      </c>
      <c r="M183" s="3">
        <v>17.41</v>
      </c>
      <c r="N183" s="3">
        <v>29.1</v>
      </c>
      <c r="O183" s="3">
        <v>67.64</v>
      </c>
      <c r="P183" s="3">
        <v>95.185783360000002</v>
      </c>
      <c r="Q183" s="3">
        <v>18.47562989</v>
      </c>
      <c r="R183" s="3">
        <v>50.58</v>
      </c>
      <c r="S183" s="3">
        <v>118.6625286</v>
      </c>
      <c r="T183" s="3">
        <v>34.941854560000003</v>
      </c>
      <c r="U183" s="3"/>
      <c r="V183" s="3">
        <v>12.5</v>
      </c>
      <c r="W183" s="3">
        <v>24.7498</v>
      </c>
      <c r="X183" s="3">
        <v>56.608194709999999</v>
      </c>
      <c r="Y183" s="3">
        <v>0.17631358755390239</v>
      </c>
    </row>
    <row r="184" spans="1:25" x14ac:dyDescent="0.3">
      <c r="A184" s="2" t="s">
        <v>226</v>
      </c>
      <c r="B184" s="2" t="s">
        <v>30</v>
      </c>
      <c r="C184" s="2" t="s">
        <v>143</v>
      </c>
      <c r="D184" s="2" t="s">
        <v>144</v>
      </c>
      <c r="E184" s="2">
        <v>1</v>
      </c>
      <c r="F184" s="2">
        <v>4</v>
      </c>
      <c r="G184" s="2">
        <v>14</v>
      </c>
      <c r="H184" s="2">
        <v>3</v>
      </c>
      <c r="I184" s="3">
        <v>28.67</v>
      </c>
      <c r="J184" s="3">
        <v>8.2200000000000006</v>
      </c>
      <c r="K184" s="3">
        <v>23</v>
      </c>
      <c r="L184" s="3">
        <v>32</v>
      </c>
      <c r="M184" s="3">
        <v>17.32</v>
      </c>
      <c r="N184" s="3">
        <v>26.3</v>
      </c>
      <c r="O184" s="3">
        <v>76.290000000000006</v>
      </c>
      <c r="P184" s="3">
        <v>107.1510577</v>
      </c>
      <c r="Q184" s="3">
        <v>12.1398682</v>
      </c>
      <c r="R184" s="3">
        <v>55.73</v>
      </c>
      <c r="S184" s="3">
        <v>117.24806510000001</v>
      </c>
      <c r="T184" s="3">
        <v>39.751171050000004</v>
      </c>
      <c r="U184" s="3"/>
      <c r="V184" s="3">
        <v>10</v>
      </c>
      <c r="W184" s="3">
        <v>19.711400000000008</v>
      </c>
      <c r="X184" s="3">
        <v>61.175451209999999</v>
      </c>
      <c r="Y184" s="3">
        <v>0.32618013697471843</v>
      </c>
    </row>
    <row r="185" spans="1:25" x14ac:dyDescent="0.3">
      <c r="A185" s="2" t="s">
        <v>227</v>
      </c>
      <c r="B185" s="2" t="s">
        <v>30</v>
      </c>
      <c r="C185" s="2" t="s">
        <v>143</v>
      </c>
      <c r="D185" s="2" t="s">
        <v>144</v>
      </c>
      <c r="E185" s="2">
        <v>1</v>
      </c>
      <c r="F185" s="2">
        <v>4</v>
      </c>
      <c r="G185" s="2">
        <v>14</v>
      </c>
      <c r="H185" s="2">
        <v>4</v>
      </c>
      <c r="I185" s="3">
        <v>38.69</v>
      </c>
      <c r="J185" s="3">
        <v>7.96</v>
      </c>
      <c r="K185" s="3">
        <v>26</v>
      </c>
      <c r="L185" s="3">
        <v>27</v>
      </c>
      <c r="M185" s="3">
        <v>20.14</v>
      </c>
      <c r="N185" s="3">
        <v>24.3</v>
      </c>
      <c r="O185" s="3">
        <v>70.09</v>
      </c>
      <c r="P185" s="3">
        <v>92.696822580000003</v>
      </c>
      <c r="Q185" s="3">
        <v>19.551657219999999</v>
      </c>
      <c r="R185" s="3">
        <v>54.04</v>
      </c>
      <c r="S185" s="3">
        <v>120.5931319</v>
      </c>
      <c r="T185" s="3">
        <v>36.349884459999998</v>
      </c>
      <c r="U185" s="3"/>
      <c r="V185" s="3">
        <v>11</v>
      </c>
      <c r="W185" s="3">
        <v>24.6158</v>
      </c>
      <c r="X185" s="3">
        <v>31.77413447</v>
      </c>
      <c r="Y185" s="3">
        <v>0.25565470195315793</v>
      </c>
    </row>
    <row r="186" spans="1:25" x14ac:dyDescent="0.3">
      <c r="A186" s="2" t="s">
        <v>228</v>
      </c>
      <c r="B186" s="2" t="s">
        <v>30</v>
      </c>
      <c r="C186" s="2" t="s">
        <v>143</v>
      </c>
      <c r="D186" s="2" t="s">
        <v>144</v>
      </c>
      <c r="E186" s="2">
        <v>1</v>
      </c>
      <c r="F186" s="2">
        <v>4</v>
      </c>
      <c r="G186" s="2">
        <v>14</v>
      </c>
      <c r="H186" s="2">
        <v>5</v>
      </c>
      <c r="I186" s="3">
        <v>36.1</v>
      </c>
      <c r="J186" s="3">
        <v>7.9</v>
      </c>
      <c r="K186" s="3">
        <v>24</v>
      </c>
      <c r="L186" s="3">
        <v>32</v>
      </c>
      <c r="M186" s="3">
        <v>19.66</v>
      </c>
      <c r="N186" s="3">
        <v>21.1</v>
      </c>
      <c r="O186" s="3">
        <v>69.94</v>
      </c>
      <c r="P186" s="3">
        <v>106.22193660000001</v>
      </c>
      <c r="Q186" s="3">
        <v>15.07000332</v>
      </c>
      <c r="R186" s="3">
        <v>56.08</v>
      </c>
      <c r="S186" s="3">
        <v>115.1158448</v>
      </c>
      <c r="T186" s="3">
        <v>38.025313939999997</v>
      </c>
      <c r="U186" s="3"/>
      <c r="V186" s="3">
        <v>11.5</v>
      </c>
      <c r="W186" s="3">
        <v>21.265800000000009</v>
      </c>
      <c r="X186" s="3">
        <v>56.321387899999998</v>
      </c>
      <c r="Y186" s="3">
        <v>0.9844175305092866</v>
      </c>
    </row>
    <row r="187" spans="1:25" x14ac:dyDescent="0.3">
      <c r="A187" s="2" t="s">
        <v>229</v>
      </c>
      <c r="B187" s="2" t="s">
        <v>150</v>
      </c>
      <c r="C187" s="2" t="s">
        <v>143</v>
      </c>
      <c r="D187" s="2" t="s">
        <v>151</v>
      </c>
      <c r="E187" s="2">
        <v>1</v>
      </c>
      <c r="F187" s="2">
        <v>4</v>
      </c>
      <c r="G187" s="2">
        <v>14</v>
      </c>
      <c r="H187" s="2">
        <v>1</v>
      </c>
      <c r="I187" s="3">
        <v>39.82</v>
      </c>
      <c r="J187" s="3">
        <v>6.58</v>
      </c>
      <c r="K187" s="3">
        <v>20</v>
      </c>
      <c r="L187" s="3">
        <v>24</v>
      </c>
      <c r="M187" s="3">
        <v>15.44</v>
      </c>
      <c r="N187" s="3">
        <v>23</v>
      </c>
      <c r="O187" s="3">
        <v>71.78</v>
      </c>
      <c r="P187" s="3">
        <v>92.585735020000001</v>
      </c>
      <c r="Q187" s="3">
        <v>23.493924750000001</v>
      </c>
      <c r="R187" s="3">
        <v>54.71</v>
      </c>
      <c r="S187" s="3">
        <v>118.5853966</v>
      </c>
      <c r="T187" s="3">
        <v>40.587510389999998</v>
      </c>
      <c r="U187" s="3"/>
      <c r="V187" s="3">
        <v>6</v>
      </c>
      <c r="W187" s="3">
        <v>17.875599999999999</v>
      </c>
      <c r="X187" s="3">
        <v>63.895657030000002</v>
      </c>
      <c r="Y187" s="3">
        <v>1.3752459829204371</v>
      </c>
    </row>
    <row r="188" spans="1:25" x14ac:dyDescent="0.3">
      <c r="A188" s="2" t="s">
        <v>230</v>
      </c>
      <c r="B188" s="2" t="s">
        <v>150</v>
      </c>
      <c r="C188" s="2" t="s">
        <v>143</v>
      </c>
      <c r="D188" s="2" t="s">
        <v>151</v>
      </c>
      <c r="E188" s="2">
        <v>1</v>
      </c>
      <c r="F188" s="2">
        <v>4</v>
      </c>
      <c r="G188" s="2">
        <v>14</v>
      </c>
      <c r="H188" s="2">
        <v>2</v>
      </c>
      <c r="I188" s="3">
        <v>25.52</v>
      </c>
      <c r="J188" s="3">
        <v>8.65</v>
      </c>
      <c r="K188" s="3">
        <v>23.5</v>
      </c>
      <c r="L188" s="3">
        <v>22</v>
      </c>
      <c r="M188" s="3">
        <v>10.59</v>
      </c>
      <c r="N188" s="3">
        <v>17.2</v>
      </c>
      <c r="O188" s="3">
        <v>71.010000000000005</v>
      </c>
      <c r="P188" s="3">
        <v>100.4651035</v>
      </c>
      <c r="Q188" s="3">
        <v>20.755264390000001</v>
      </c>
      <c r="R188" s="3">
        <v>55.65</v>
      </c>
      <c r="S188" s="3">
        <v>118.1941934</v>
      </c>
      <c r="T188" s="3">
        <v>40.891857379999998</v>
      </c>
      <c r="U188" s="3"/>
      <c r="V188" s="3">
        <v>6</v>
      </c>
      <c r="W188" s="3">
        <v>19.992799999999999</v>
      </c>
      <c r="X188" s="3">
        <v>62.093063290000003</v>
      </c>
      <c r="Y188" s="3">
        <v>1.4310786189791711</v>
      </c>
    </row>
    <row r="189" spans="1:25" x14ac:dyDescent="0.3">
      <c r="A189" s="2" t="s">
        <v>231</v>
      </c>
      <c r="B189" s="2" t="s">
        <v>150</v>
      </c>
      <c r="C189" s="2" t="s">
        <v>143</v>
      </c>
      <c r="D189" s="2" t="s">
        <v>151</v>
      </c>
      <c r="E189" s="2">
        <v>1</v>
      </c>
      <c r="F189" s="2">
        <v>4</v>
      </c>
      <c r="G189" s="2">
        <v>14</v>
      </c>
      <c r="H189" s="2">
        <v>3</v>
      </c>
      <c r="I189" s="3">
        <v>26.89</v>
      </c>
      <c r="J189" s="3">
        <v>6.25</v>
      </c>
      <c r="K189" s="3">
        <v>20</v>
      </c>
      <c r="L189" s="3">
        <v>25</v>
      </c>
      <c r="M189" s="3">
        <v>11.25</v>
      </c>
      <c r="N189" s="3">
        <v>14.7</v>
      </c>
      <c r="O189" s="3">
        <v>68.3</v>
      </c>
      <c r="P189" s="3">
        <v>92.069459440000003</v>
      </c>
      <c r="Q189" s="3">
        <v>19.382644299999999</v>
      </c>
      <c r="R189" s="3">
        <v>55.95</v>
      </c>
      <c r="S189" s="3">
        <v>116.3872664</v>
      </c>
      <c r="T189" s="3">
        <v>37.530345060000002</v>
      </c>
      <c r="U189" s="3"/>
      <c r="V189" s="3">
        <v>5.5</v>
      </c>
      <c r="W189" s="3">
        <v>22.24400000000001</v>
      </c>
      <c r="X189" s="3">
        <v>56.038706050000002</v>
      </c>
      <c r="Y189" s="3">
        <v>1.460464216904823</v>
      </c>
    </row>
    <row r="190" spans="1:25" x14ac:dyDescent="0.3">
      <c r="A190" s="2" t="s">
        <v>232</v>
      </c>
      <c r="B190" s="2" t="s">
        <v>150</v>
      </c>
      <c r="C190" s="2" t="s">
        <v>143</v>
      </c>
      <c r="D190" s="2" t="s">
        <v>151</v>
      </c>
      <c r="E190" s="2">
        <v>1</v>
      </c>
      <c r="F190" s="2">
        <v>4</v>
      </c>
      <c r="G190" s="2">
        <v>14</v>
      </c>
      <c r="H190" s="2">
        <v>4</v>
      </c>
      <c r="I190" s="3">
        <v>28.49</v>
      </c>
      <c r="J190" s="3">
        <v>6.28</v>
      </c>
      <c r="K190" s="3">
        <v>20</v>
      </c>
      <c r="L190" s="3">
        <v>25</v>
      </c>
      <c r="M190" s="3">
        <v>15.57</v>
      </c>
      <c r="N190" s="3">
        <v>15</v>
      </c>
      <c r="O190" s="3">
        <v>61.59</v>
      </c>
      <c r="P190" s="3">
        <v>94.303616880000007</v>
      </c>
      <c r="Q190" s="3">
        <v>19.454860579999998</v>
      </c>
      <c r="R190" s="3">
        <v>61.95</v>
      </c>
      <c r="S190" s="3">
        <v>122.2515325</v>
      </c>
      <c r="T190" s="3">
        <v>40.664014799999997</v>
      </c>
      <c r="U190" s="3"/>
      <c r="V190" s="3">
        <v>6</v>
      </c>
      <c r="W190" s="3">
        <v>24.79000000000001</v>
      </c>
      <c r="X190" s="3">
        <v>57.395128079999999</v>
      </c>
      <c r="Y190" s="3">
        <v>1.733750277613372</v>
      </c>
    </row>
    <row r="191" spans="1:25" x14ac:dyDescent="0.3">
      <c r="A191" s="2" t="s">
        <v>233</v>
      </c>
      <c r="B191" s="2" t="s">
        <v>150</v>
      </c>
      <c r="C191" s="2" t="s">
        <v>143</v>
      </c>
      <c r="D191" s="2" t="s">
        <v>151</v>
      </c>
      <c r="E191" s="2">
        <v>1</v>
      </c>
      <c r="F191" s="2">
        <v>4</v>
      </c>
      <c r="G191" s="2">
        <v>14</v>
      </c>
      <c r="H191" s="2">
        <v>5</v>
      </c>
      <c r="I191" s="3">
        <v>27.71</v>
      </c>
      <c r="J191" s="3">
        <v>7.73</v>
      </c>
      <c r="K191" s="3">
        <v>19</v>
      </c>
      <c r="L191" s="3">
        <v>26</v>
      </c>
      <c r="M191" s="3">
        <v>12.63</v>
      </c>
      <c r="N191" s="3">
        <v>23.2</v>
      </c>
      <c r="O191" s="3">
        <v>63</v>
      </c>
      <c r="P191" s="3">
        <v>96.356449670000003</v>
      </c>
      <c r="Q191" s="3">
        <v>23.03160003</v>
      </c>
      <c r="R191" s="3">
        <v>55.98</v>
      </c>
      <c r="S191" s="3">
        <v>121.186736</v>
      </c>
      <c r="T191" s="3">
        <v>37.850025100000003</v>
      </c>
      <c r="U191" s="3"/>
      <c r="V191" s="3">
        <v>6.5</v>
      </c>
      <c r="W191" s="3">
        <v>20.368000000000009</v>
      </c>
      <c r="X191" s="3">
        <v>57.6433362</v>
      </c>
      <c r="Y191" s="3">
        <v>1.1813010366111429</v>
      </c>
    </row>
    <row r="192" spans="1:25" x14ac:dyDescent="0.3">
      <c r="A192" s="2" t="s">
        <v>234</v>
      </c>
      <c r="B192" s="2" t="s">
        <v>150</v>
      </c>
      <c r="C192" s="2" t="s">
        <v>143</v>
      </c>
      <c r="D192" s="2" t="s">
        <v>157</v>
      </c>
      <c r="E192" s="2">
        <v>1</v>
      </c>
      <c r="F192" s="2">
        <v>4</v>
      </c>
      <c r="G192" s="2">
        <v>14</v>
      </c>
      <c r="H192" s="2">
        <v>1</v>
      </c>
      <c r="I192" s="3">
        <v>30.91</v>
      </c>
      <c r="J192" s="3">
        <v>7.53</v>
      </c>
      <c r="K192" s="3">
        <v>23</v>
      </c>
      <c r="L192" s="3">
        <v>20</v>
      </c>
      <c r="M192" s="3">
        <v>24.24</v>
      </c>
      <c r="N192" s="3">
        <v>26.8</v>
      </c>
      <c r="O192" s="3">
        <v>41.56</v>
      </c>
      <c r="P192" s="3">
        <v>67.752688000000006</v>
      </c>
      <c r="Q192" s="3">
        <v>25.77900696</v>
      </c>
      <c r="R192" s="3">
        <v>56.47</v>
      </c>
      <c r="S192" s="3">
        <v>94.553380369999999</v>
      </c>
      <c r="T192" s="3">
        <v>30.35581822</v>
      </c>
      <c r="U192" s="3"/>
      <c r="V192" s="3">
        <v>3</v>
      </c>
      <c r="W192" s="3">
        <v>18.893999999999998</v>
      </c>
      <c r="X192" s="3">
        <v>41.644820160000002</v>
      </c>
      <c r="Y192" s="3">
        <v>1.962957941433443</v>
      </c>
    </row>
    <row r="193" spans="1:25" x14ac:dyDescent="0.3">
      <c r="A193" s="2" t="s">
        <v>235</v>
      </c>
      <c r="B193" s="2" t="s">
        <v>150</v>
      </c>
      <c r="C193" s="2" t="s">
        <v>143</v>
      </c>
      <c r="D193" s="2" t="s">
        <v>157</v>
      </c>
      <c r="E193" s="2">
        <v>1</v>
      </c>
      <c r="F193" s="2">
        <v>4</v>
      </c>
      <c r="G193" s="2">
        <v>14</v>
      </c>
      <c r="H193" s="2">
        <v>2</v>
      </c>
      <c r="I193" s="3">
        <v>37.700000000000003</v>
      </c>
      <c r="J193" s="3">
        <v>5.04</v>
      </c>
      <c r="K193" s="3">
        <v>26</v>
      </c>
      <c r="L193" s="3">
        <v>24</v>
      </c>
      <c r="M193" s="3">
        <v>22.36</v>
      </c>
      <c r="N193" s="3">
        <v>22.3</v>
      </c>
      <c r="O193" s="3">
        <v>41.59</v>
      </c>
      <c r="P193" s="3">
        <v>62.090667289999999</v>
      </c>
      <c r="Q193" s="3">
        <v>22.496561960000001</v>
      </c>
      <c r="R193" s="3">
        <v>53.6</v>
      </c>
      <c r="S193" s="3">
        <v>108.9391103</v>
      </c>
      <c r="T193" s="3">
        <v>29.454595569999999</v>
      </c>
      <c r="U193" s="3"/>
      <c r="V193" s="3">
        <v>5</v>
      </c>
      <c r="W193" s="3">
        <v>25.031199999999998</v>
      </c>
      <c r="X193" s="3">
        <v>41.113360069999999</v>
      </c>
      <c r="Y193" s="3">
        <v>2.7975089225219132</v>
      </c>
    </row>
    <row r="194" spans="1:25" x14ac:dyDescent="0.3">
      <c r="A194" s="2" t="s">
        <v>236</v>
      </c>
      <c r="B194" s="2" t="s">
        <v>150</v>
      </c>
      <c r="C194" s="2" t="s">
        <v>143</v>
      </c>
      <c r="D194" s="2" t="s">
        <v>157</v>
      </c>
      <c r="E194" s="2">
        <v>1</v>
      </c>
      <c r="F194" s="2">
        <v>4</v>
      </c>
      <c r="G194" s="2">
        <v>14</v>
      </c>
      <c r="H194" s="2">
        <v>3</v>
      </c>
      <c r="I194" s="3">
        <v>46.08</v>
      </c>
      <c r="J194" s="3">
        <v>7.45</v>
      </c>
      <c r="K194" s="3">
        <v>25</v>
      </c>
      <c r="L194" s="3">
        <v>22</v>
      </c>
      <c r="M194" s="3">
        <v>19.59</v>
      </c>
      <c r="N194" s="3">
        <v>19.100000000000001</v>
      </c>
      <c r="O194" s="3">
        <v>47.54</v>
      </c>
      <c r="P194" s="3">
        <v>69.836163760000005</v>
      </c>
      <c r="Q194" s="3">
        <v>23.585514620000001</v>
      </c>
      <c r="R194" s="3">
        <v>57.35</v>
      </c>
      <c r="S194" s="3">
        <v>103.0350747</v>
      </c>
      <c r="T194" s="3">
        <v>36.931684230000002</v>
      </c>
      <c r="U194" s="3"/>
      <c r="V194" s="3">
        <v>4</v>
      </c>
      <c r="W194" s="3">
        <v>20.702999999999999</v>
      </c>
      <c r="X194" s="3">
        <v>38.222033500000002</v>
      </c>
      <c r="Y194" s="3">
        <v>1.2870891891434859</v>
      </c>
    </row>
    <row r="195" spans="1:25" x14ac:dyDescent="0.3">
      <c r="A195" s="2" t="s">
        <v>237</v>
      </c>
      <c r="B195" s="2" t="s">
        <v>150</v>
      </c>
      <c r="C195" s="2" t="s">
        <v>143</v>
      </c>
      <c r="D195" s="2" t="s">
        <v>157</v>
      </c>
      <c r="E195" s="2">
        <v>1</v>
      </c>
      <c r="F195" s="2">
        <v>4</v>
      </c>
      <c r="G195" s="2">
        <v>14</v>
      </c>
      <c r="H195" s="2">
        <v>4</v>
      </c>
      <c r="I195" s="3">
        <v>31.1</v>
      </c>
      <c r="J195" s="3">
        <v>9.1199999999999992</v>
      </c>
      <c r="K195" s="3">
        <v>26</v>
      </c>
      <c r="L195" s="3">
        <v>24</v>
      </c>
      <c r="M195" s="3">
        <v>19.82</v>
      </c>
      <c r="N195" s="3">
        <v>30</v>
      </c>
      <c r="O195" s="3">
        <v>44.05</v>
      </c>
      <c r="P195" s="3">
        <v>55.594256289999997</v>
      </c>
      <c r="Q195" s="3">
        <v>22.652949039999999</v>
      </c>
      <c r="R195" s="3">
        <v>56.84</v>
      </c>
      <c r="S195" s="3">
        <v>105.8823289</v>
      </c>
      <c r="T195" s="3">
        <v>35.079161910000003</v>
      </c>
      <c r="U195" s="3"/>
      <c r="V195" s="3">
        <v>5.5</v>
      </c>
      <c r="W195" s="3">
        <v>21.85540000000001</v>
      </c>
      <c r="X195" s="3">
        <v>40.823463820000001</v>
      </c>
      <c r="Y195" s="3">
        <v>1.836599870353147</v>
      </c>
    </row>
    <row r="196" spans="1:25" x14ac:dyDescent="0.3">
      <c r="A196" s="2" t="s">
        <v>238</v>
      </c>
      <c r="B196" s="2" t="s">
        <v>150</v>
      </c>
      <c r="C196" s="2" t="s">
        <v>143</v>
      </c>
      <c r="D196" s="2" t="s">
        <v>157</v>
      </c>
      <c r="E196" s="2">
        <v>1</v>
      </c>
      <c r="F196" s="2">
        <v>4</v>
      </c>
      <c r="G196" s="2">
        <v>14</v>
      </c>
      <c r="H196" s="2">
        <v>5</v>
      </c>
      <c r="I196" s="3">
        <v>29.8</v>
      </c>
      <c r="J196" s="3">
        <v>11.3</v>
      </c>
      <c r="K196" s="3">
        <v>26</v>
      </c>
      <c r="L196" s="3">
        <v>22</v>
      </c>
      <c r="M196" s="3">
        <v>24.5</v>
      </c>
      <c r="N196" s="3">
        <v>32.200000000000003</v>
      </c>
      <c r="O196" s="3">
        <v>49.63</v>
      </c>
      <c r="P196" s="3">
        <v>65.360667840000005</v>
      </c>
      <c r="Q196" s="3">
        <v>25.017843630000002</v>
      </c>
      <c r="R196" s="3">
        <v>58.94</v>
      </c>
      <c r="S196" s="3">
        <v>102.2630381</v>
      </c>
      <c r="T196" s="3">
        <v>32.532325460000003</v>
      </c>
      <c r="U196" s="3"/>
      <c r="V196" s="3">
        <v>5</v>
      </c>
      <c r="W196" s="3">
        <v>25.634200000000011</v>
      </c>
      <c r="X196" s="3">
        <v>37.429568699999997</v>
      </c>
      <c r="Y196" s="3">
        <v>1.4516485375271271</v>
      </c>
    </row>
    <row r="197" spans="1:25" x14ac:dyDescent="0.3">
      <c r="A197" s="2" t="s">
        <v>239</v>
      </c>
      <c r="B197" s="2" t="s">
        <v>150</v>
      </c>
      <c r="C197" s="2" t="s">
        <v>143</v>
      </c>
      <c r="D197" s="2" t="s">
        <v>163</v>
      </c>
      <c r="E197" s="2">
        <v>1</v>
      </c>
      <c r="F197" s="2">
        <v>4</v>
      </c>
      <c r="G197" s="2">
        <v>14</v>
      </c>
      <c r="H197" s="2">
        <v>1</v>
      </c>
      <c r="I197" s="3">
        <v>40.15</v>
      </c>
      <c r="J197" s="3">
        <v>7.79</v>
      </c>
      <c r="K197" s="3">
        <v>26</v>
      </c>
      <c r="L197" s="3">
        <v>23</v>
      </c>
      <c r="M197" s="3">
        <v>10.55</v>
      </c>
      <c r="N197" s="3">
        <v>28</v>
      </c>
      <c r="O197" s="3">
        <v>55.67</v>
      </c>
      <c r="P197" s="3">
        <v>84.928396620000001</v>
      </c>
      <c r="Q197" s="3">
        <v>23.19078481</v>
      </c>
      <c r="R197" s="3">
        <v>53.65</v>
      </c>
      <c r="S197" s="3">
        <v>117.1681445</v>
      </c>
      <c r="T197" s="3">
        <v>39.303059570000002</v>
      </c>
      <c r="U197" s="3"/>
      <c r="V197" s="3">
        <v>6</v>
      </c>
      <c r="W197" s="3">
        <v>16.1738</v>
      </c>
      <c r="X197" s="3">
        <v>46.131989019999999</v>
      </c>
      <c r="Y197" s="3">
        <v>1.131345520137538</v>
      </c>
    </row>
    <row r="198" spans="1:25" x14ac:dyDescent="0.3">
      <c r="A198" s="2" t="s">
        <v>240</v>
      </c>
      <c r="B198" s="2" t="s">
        <v>150</v>
      </c>
      <c r="C198" s="2" t="s">
        <v>143</v>
      </c>
      <c r="D198" s="2" t="s">
        <v>163</v>
      </c>
      <c r="E198" s="2">
        <v>1</v>
      </c>
      <c r="F198" s="2">
        <v>4</v>
      </c>
      <c r="G198" s="2">
        <v>14</v>
      </c>
      <c r="H198" s="2">
        <v>2</v>
      </c>
      <c r="I198" s="3">
        <v>44.85</v>
      </c>
      <c r="J198" s="3">
        <v>7.88</v>
      </c>
      <c r="K198" s="3">
        <v>27</v>
      </c>
      <c r="L198" s="3">
        <v>27</v>
      </c>
      <c r="M198" s="3">
        <v>11.93</v>
      </c>
      <c r="N198" s="3">
        <v>19.2</v>
      </c>
      <c r="O198" s="3">
        <v>69.56</v>
      </c>
      <c r="P198" s="3">
        <v>84.235948660000005</v>
      </c>
      <c r="Q198" s="3">
        <v>25.689881280000002</v>
      </c>
      <c r="R198" s="3">
        <v>50.93</v>
      </c>
      <c r="S198" s="3">
        <v>115.1701906</v>
      </c>
      <c r="T198" s="3">
        <v>36.30156839</v>
      </c>
      <c r="U198" s="3"/>
      <c r="V198" s="3">
        <v>4.5</v>
      </c>
      <c r="W198" s="3">
        <v>18.076599999999999</v>
      </c>
      <c r="X198" s="3">
        <v>41.34612594</v>
      </c>
      <c r="Y198" s="3">
        <v>2.3655406330148541</v>
      </c>
    </row>
    <row r="199" spans="1:25" x14ac:dyDescent="0.3">
      <c r="A199" s="2" t="s">
        <v>241</v>
      </c>
      <c r="B199" s="2" t="s">
        <v>150</v>
      </c>
      <c r="C199" s="2" t="s">
        <v>143</v>
      </c>
      <c r="D199" s="2" t="s">
        <v>163</v>
      </c>
      <c r="E199" s="2">
        <v>1</v>
      </c>
      <c r="F199" s="2">
        <v>4</v>
      </c>
      <c r="G199" s="2">
        <v>14</v>
      </c>
      <c r="H199" s="2">
        <v>3</v>
      </c>
      <c r="I199" s="3">
        <v>26.24</v>
      </c>
      <c r="J199" s="3">
        <v>9.25</v>
      </c>
      <c r="K199" s="3">
        <v>21</v>
      </c>
      <c r="L199" s="3">
        <v>14</v>
      </c>
      <c r="M199" s="3">
        <v>13.33</v>
      </c>
      <c r="N199" s="3">
        <v>18.600000000000001</v>
      </c>
      <c r="O199" s="3">
        <v>60.52</v>
      </c>
      <c r="P199" s="3">
        <v>88.724063439999995</v>
      </c>
      <c r="Q199" s="3">
        <v>28.297013979999999</v>
      </c>
      <c r="R199" s="3">
        <v>53.62</v>
      </c>
      <c r="S199" s="3">
        <v>117.6161371</v>
      </c>
      <c r="T199" s="3">
        <v>37.016293230000002</v>
      </c>
      <c r="U199" s="3"/>
      <c r="V199" s="3">
        <v>6</v>
      </c>
      <c r="W199" s="3">
        <v>17.178799999999999</v>
      </c>
      <c r="X199" s="3">
        <v>43.47293655</v>
      </c>
      <c r="Y199" s="3">
        <v>1.683794761139765</v>
      </c>
    </row>
    <row r="200" spans="1:25" x14ac:dyDescent="0.3">
      <c r="A200" s="2" t="s">
        <v>242</v>
      </c>
      <c r="B200" s="2" t="s">
        <v>150</v>
      </c>
      <c r="C200" s="2" t="s">
        <v>143</v>
      </c>
      <c r="D200" s="2" t="s">
        <v>163</v>
      </c>
      <c r="E200" s="2">
        <v>1</v>
      </c>
      <c r="F200" s="2">
        <v>4</v>
      </c>
      <c r="G200" s="2">
        <v>14</v>
      </c>
      <c r="H200" s="2">
        <v>4</v>
      </c>
      <c r="I200" s="3">
        <v>21.86</v>
      </c>
      <c r="J200" s="3">
        <v>9.6</v>
      </c>
      <c r="K200" s="3">
        <v>22</v>
      </c>
      <c r="L200" s="3">
        <v>23</v>
      </c>
      <c r="M200" s="3">
        <v>17.239999999999998</v>
      </c>
      <c r="N200" s="3">
        <v>20.9</v>
      </c>
      <c r="O200" s="3">
        <v>64.05</v>
      </c>
      <c r="P200" s="3">
        <v>85.427664359999994</v>
      </c>
      <c r="Q200" s="3">
        <v>25.591438019999998</v>
      </c>
      <c r="R200" s="3">
        <v>55.1</v>
      </c>
      <c r="S200" s="3">
        <v>112.6165196</v>
      </c>
      <c r="T200" s="3">
        <v>31.687260850000001</v>
      </c>
      <c r="U200" s="3"/>
      <c r="V200" s="3">
        <v>6</v>
      </c>
      <c r="W200" s="3">
        <v>20.810200000000009</v>
      </c>
      <c r="X200" s="3">
        <v>43.55527652</v>
      </c>
      <c r="Y200" s="3">
        <v>1.160731118063189</v>
      </c>
    </row>
    <row r="201" spans="1:25" x14ac:dyDescent="0.3">
      <c r="A201" s="2" t="s">
        <v>243</v>
      </c>
      <c r="B201" s="2" t="s">
        <v>150</v>
      </c>
      <c r="C201" s="2" t="s">
        <v>143</v>
      </c>
      <c r="D201" s="2" t="s">
        <v>163</v>
      </c>
      <c r="E201" s="2">
        <v>1</v>
      </c>
      <c r="F201" s="2">
        <v>4</v>
      </c>
      <c r="G201" s="2">
        <v>14</v>
      </c>
      <c r="H201" s="2">
        <v>5</v>
      </c>
      <c r="I201" s="3">
        <v>19.5</v>
      </c>
      <c r="J201" s="3">
        <v>9.8000000000000007</v>
      </c>
      <c r="K201" s="3">
        <v>24</v>
      </c>
      <c r="L201" s="3">
        <v>21.75</v>
      </c>
      <c r="M201" s="3">
        <v>11.14</v>
      </c>
      <c r="N201" s="3">
        <v>17.2</v>
      </c>
      <c r="O201" s="3">
        <v>62.81</v>
      </c>
      <c r="P201" s="3">
        <v>85.3710205</v>
      </c>
      <c r="Q201" s="3">
        <v>25.402852200000002</v>
      </c>
      <c r="R201" s="3">
        <v>59.01</v>
      </c>
      <c r="S201" s="3">
        <v>121.0819073</v>
      </c>
      <c r="T201" s="3">
        <v>39.868257399999997</v>
      </c>
      <c r="U201" s="3"/>
      <c r="V201" s="3">
        <v>4.5</v>
      </c>
      <c r="W201" s="3">
        <v>18.5456</v>
      </c>
      <c r="X201" s="3">
        <v>48.35247545</v>
      </c>
      <c r="Y201" s="3">
        <v>1.945326582678053</v>
      </c>
    </row>
    <row r="202" spans="1:25" x14ac:dyDescent="0.3">
      <c r="A202" s="2" t="s">
        <v>244</v>
      </c>
      <c r="B202" s="2" t="s">
        <v>150</v>
      </c>
      <c r="C202" s="2" t="s">
        <v>143</v>
      </c>
      <c r="D202" s="2" t="s">
        <v>169</v>
      </c>
      <c r="E202" s="2">
        <v>1</v>
      </c>
      <c r="F202" s="2">
        <v>4</v>
      </c>
      <c r="G202" s="2">
        <v>14</v>
      </c>
      <c r="H202" s="2">
        <v>1</v>
      </c>
      <c r="I202" s="3">
        <v>25.56</v>
      </c>
      <c r="J202" s="3">
        <v>6.2</v>
      </c>
      <c r="K202" s="3">
        <v>26.5</v>
      </c>
      <c r="L202" s="3">
        <v>19</v>
      </c>
      <c r="M202" s="3">
        <v>17.18</v>
      </c>
      <c r="N202" s="3">
        <v>15.2</v>
      </c>
      <c r="O202" s="3">
        <v>62.8</v>
      </c>
      <c r="P202" s="3">
        <v>85.541760650000001</v>
      </c>
      <c r="Q202" s="3">
        <v>27.402906779999999</v>
      </c>
      <c r="R202" s="3">
        <v>61.92</v>
      </c>
      <c r="S202" s="3">
        <v>115.0499542</v>
      </c>
      <c r="T202" s="3">
        <v>37.386706189999998</v>
      </c>
      <c r="U202" s="3"/>
      <c r="V202" s="3">
        <v>4.5</v>
      </c>
      <c r="W202" s="3">
        <v>16.254200000000001</v>
      </c>
      <c r="X202" s="3">
        <v>29.05485792</v>
      </c>
      <c r="Y202" s="3">
        <v>1.0784514438713679</v>
      </c>
    </row>
    <row r="203" spans="1:25" x14ac:dyDescent="0.3">
      <c r="A203" s="2" t="s">
        <v>245</v>
      </c>
      <c r="B203" s="2" t="s">
        <v>150</v>
      </c>
      <c r="C203" s="2" t="s">
        <v>143</v>
      </c>
      <c r="D203" s="2" t="s">
        <v>169</v>
      </c>
      <c r="E203" s="2">
        <v>1</v>
      </c>
      <c r="F203" s="2">
        <v>4</v>
      </c>
      <c r="G203" s="2">
        <v>14</v>
      </c>
      <c r="H203" s="2">
        <v>2</v>
      </c>
      <c r="I203" s="3">
        <v>49.31</v>
      </c>
      <c r="J203" s="3">
        <v>6.4</v>
      </c>
      <c r="K203" s="3">
        <v>28</v>
      </c>
      <c r="L203" s="3">
        <v>20</v>
      </c>
      <c r="M203" s="3">
        <v>13.1</v>
      </c>
      <c r="N203" s="3">
        <v>16.8</v>
      </c>
      <c r="O203" s="3">
        <v>66.34</v>
      </c>
      <c r="P203" s="3">
        <v>94.705653580000003</v>
      </c>
      <c r="Q203" s="3">
        <v>27.181629829999999</v>
      </c>
      <c r="R203" s="3">
        <v>65.84</v>
      </c>
      <c r="S203" s="3">
        <v>124.7867949</v>
      </c>
      <c r="T203" s="3">
        <v>33.898395239999999</v>
      </c>
      <c r="U203" s="3"/>
      <c r="V203" s="3"/>
      <c r="W203" s="3">
        <v>20.3948</v>
      </c>
      <c r="X203" s="3">
        <v>32.932046239999998</v>
      </c>
      <c r="Y203" s="3"/>
    </row>
    <row r="204" spans="1:25" x14ac:dyDescent="0.3">
      <c r="A204" s="2" t="s">
        <v>246</v>
      </c>
      <c r="B204" s="2" t="s">
        <v>150</v>
      </c>
      <c r="C204" s="2" t="s">
        <v>143</v>
      </c>
      <c r="D204" s="2" t="s">
        <v>169</v>
      </c>
      <c r="E204" s="2">
        <v>1</v>
      </c>
      <c r="F204" s="2">
        <v>4</v>
      </c>
      <c r="G204" s="2">
        <v>14</v>
      </c>
      <c r="H204" s="2">
        <v>3</v>
      </c>
      <c r="I204" s="3">
        <v>28.46</v>
      </c>
      <c r="J204" s="3">
        <v>5.56</v>
      </c>
      <c r="K204" s="3">
        <v>24</v>
      </c>
      <c r="L204" s="3">
        <v>21</v>
      </c>
      <c r="M204" s="3">
        <v>13.65</v>
      </c>
      <c r="N204" s="3">
        <v>18.2</v>
      </c>
      <c r="O204" s="3">
        <v>61.43</v>
      </c>
      <c r="P204" s="3">
        <v>89.598797329999996</v>
      </c>
      <c r="Q204" s="3">
        <v>24.290594890000001</v>
      </c>
      <c r="R204" s="3">
        <v>59.34</v>
      </c>
      <c r="S204" s="3">
        <v>117.3540237</v>
      </c>
      <c r="T204" s="3">
        <v>35.713393850000003</v>
      </c>
      <c r="U204" s="3"/>
      <c r="V204" s="3">
        <v>4.5</v>
      </c>
      <c r="W204" s="3">
        <v>20.6494</v>
      </c>
      <c r="X204" s="3">
        <v>35.657302919999999</v>
      </c>
      <c r="Y204" s="3">
        <v>0.97266329133902651</v>
      </c>
    </row>
    <row r="205" spans="1:25" x14ac:dyDescent="0.3">
      <c r="A205" s="2" t="s">
        <v>247</v>
      </c>
      <c r="B205" s="2" t="s">
        <v>150</v>
      </c>
      <c r="C205" s="2" t="s">
        <v>143</v>
      </c>
      <c r="D205" s="2" t="s">
        <v>169</v>
      </c>
      <c r="E205" s="2">
        <v>1</v>
      </c>
      <c r="F205" s="2">
        <v>4</v>
      </c>
      <c r="G205" s="2">
        <v>14</v>
      </c>
      <c r="H205" s="2">
        <v>4</v>
      </c>
      <c r="I205" s="3">
        <v>46.27</v>
      </c>
      <c r="J205" s="3">
        <v>8.0299999999999994</v>
      </c>
      <c r="K205" s="3">
        <v>26</v>
      </c>
      <c r="L205" s="3">
        <v>21</v>
      </c>
      <c r="M205" s="3">
        <v>13.31</v>
      </c>
      <c r="N205" s="3">
        <v>15.85</v>
      </c>
      <c r="O205" s="3">
        <v>60.81</v>
      </c>
      <c r="P205" s="3">
        <v>87.424571830000005</v>
      </c>
      <c r="Q205" s="3">
        <v>27.59787129</v>
      </c>
      <c r="R205" s="3">
        <v>59.39</v>
      </c>
      <c r="S205" s="3">
        <v>127.32201070000001</v>
      </c>
      <c r="T205" s="3">
        <v>31.914994910000001</v>
      </c>
      <c r="U205" s="3"/>
      <c r="V205" s="3">
        <v>4.5</v>
      </c>
      <c r="W205" s="3">
        <v>20.702999999999999</v>
      </c>
      <c r="X205" s="3">
        <v>37.105246919999999</v>
      </c>
      <c r="Y205" s="3">
        <v>1.666163402384375</v>
      </c>
    </row>
    <row r="206" spans="1:25" x14ac:dyDescent="0.3">
      <c r="A206" s="2" t="s">
        <v>248</v>
      </c>
      <c r="B206" s="2" t="s">
        <v>150</v>
      </c>
      <c r="C206" s="2" t="s">
        <v>143</v>
      </c>
      <c r="D206" s="2" t="s">
        <v>169</v>
      </c>
      <c r="E206" s="2">
        <v>1</v>
      </c>
      <c r="F206" s="2">
        <v>4</v>
      </c>
      <c r="G206" s="2">
        <v>14</v>
      </c>
      <c r="H206" s="2">
        <v>5</v>
      </c>
      <c r="I206" s="3">
        <v>44.59</v>
      </c>
      <c r="J206" s="3">
        <v>6.85</v>
      </c>
      <c r="K206" s="3">
        <v>22</v>
      </c>
      <c r="L206" s="3">
        <v>25</v>
      </c>
      <c r="M206" s="3">
        <v>17.05</v>
      </c>
      <c r="N206" s="3">
        <v>18.399999999999999</v>
      </c>
      <c r="O206" s="3">
        <v>64.59</v>
      </c>
      <c r="P206" s="3">
        <v>100.1788258</v>
      </c>
      <c r="Q206" s="3">
        <v>24.444754039999999</v>
      </c>
      <c r="R206" s="3">
        <v>66</v>
      </c>
      <c r="S206" s="3">
        <v>113.2610079</v>
      </c>
      <c r="T206" s="3">
        <v>36.006871570000001</v>
      </c>
      <c r="U206" s="3"/>
      <c r="V206" s="3">
        <v>4.5</v>
      </c>
      <c r="W206" s="3">
        <v>19.9526</v>
      </c>
      <c r="X206" s="3">
        <v>38.770004849999999</v>
      </c>
      <c r="Y206" s="3">
        <v>0.81104250274794909</v>
      </c>
    </row>
    <row r="207" spans="1:25" x14ac:dyDescent="0.3">
      <c r="A207" s="2" t="s">
        <v>249</v>
      </c>
      <c r="B207" s="2" t="s">
        <v>150</v>
      </c>
      <c r="C207" s="2" t="s">
        <v>143</v>
      </c>
      <c r="D207" s="2" t="s">
        <v>169</v>
      </c>
      <c r="E207" s="2">
        <v>2</v>
      </c>
      <c r="F207" s="2">
        <v>1</v>
      </c>
      <c r="G207" s="2">
        <v>2</v>
      </c>
      <c r="H207" s="2">
        <v>3</v>
      </c>
      <c r="I207" s="3">
        <v>27.33</v>
      </c>
      <c r="J207" s="3">
        <v>15.25</v>
      </c>
      <c r="K207" s="3">
        <v>22</v>
      </c>
      <c r="L207" s="3">
        <v>33</v>
      </c>
      <c r="M207" s="3">
        <v>11.535</v>
      </c>
      <c r="N207" s="3">
        <v>48</v>
      </c>
      <c r="O207" s="3">
        <v>76.180000000000007</v>
      </c>
      <c r="P207" s="3">
        <v>105.8997035</v>
      </c>
      <c r="Q207" s="3">
        <v>15.586308089999999</v>
      </c>
      <c r="R207" s="3">
        <v>45.7</v>
      </c>
      <c r="S207" s="3">
        <v>124.027162</v>
      </c>
      <c r="T207" s="3">
        <v>26.376451620000001</v>
      </c>
      <c r="U207" s="3">
        <v>90.52</v>
      </c>
      <c r="V207" s="3">
        <v>4</v>
      </c>
      <c r="W207" s="3">
        <v>17.272600000000001</v>
      </c>
      <c r="X207" s="3">
        <v>104.4462398</v>
      </c>
      <c r="Y207" s="3"/>
    </row>
    <row r="208" spans="1:25" x14ac:dyDescent="0.3">
      <c r="A208" s="2" t="s">
        <v>250</v>
      </c>
      <c r="B208" s="2" t="s">
        <v>150</v>
      </c>
      <c r="C208" s="2" t="s">
        <v>143</v>
      </c>
      <c r="D208" s="2" t="s">
        <v>169</v>
      </c>
      <c r="E208" s="2">
        <v>2</v>
      </c>
      <c r="F208" s="2">
        <v>1</v>
      </c>
      <c r="G208" s="2">
        <v>2</v>
      </c>
      <c r="H208" s="2">
        <v>4</v>
      </c>
      <c r="I208" s="3">
        <v>20.420000000000002</v>
      </c>
      <c r="J208" s="3">
        <v>17</v>
      </c>
      <c r="K208" s="3">
        <v>21</v>
      </c>
      <c r="L208" s="3">
        <v>38</v>
      </c>
      <c r="M208" s="3">
        <v>15.448</v>
      </c>
      <c r="N208" s="3">
        <v>45.2</v>
      </c>
      <c r="O208" s="3">
        <v>69.58</v>
      </c>
      <c r="P208" s="3">
        <v>102.7844218</v>
      </c>
      <c r="Q208" s="3">
        <v>19.431739499999999</v>
      </c>
      <c r="R208" s="3">
        <v>48.51</v>
      </c>
      <c r="S208" s="3">
        <v>120.321279</v>
      </c>
      <c r="T208" s="3">
        <v>22.798739000000001</v>
      </c>
      <c r="U208" s="3">
        <v>91.22</v>
      </c>
      <c r="V208" s="3">
        <v>4</v>
      </c>
      <c r="W208" s="3"/>
      <c r="X208" s="3">
        <v>76.687352500000003</v>
      </c>
      <c r="Y208" s="3"/>
    </row>
    <row r="209" spans="1:25" x14ac:dyDescent="0.3">
      <c r="A209" s="2" t="s">
        <v>251</v>
      </c>
      <c r="B209" s="2" t="s">
        <v>150</v>
      </c>
      <c r="C209" s="2" t="s">
        <v>143</v>
      </c>
      <c r="D209" s="2" t="s">
        <v>169</v>
      </c>
      <c r="E209" s="2">
        <v>2</v>
      </c>
      <c r="F209" s="2">
        <v>1</v>
      </c>
      <c r="G209" s="2">
        <v>2</v>
      </c>
      <c r="H209" s="2">
        <v>5</v>
      </c>
      <c r="I209" s="3">
        <v>25.6</v>
      </c>
      <c r="J209" s="3">
        <v>16</v>
      </c>
      <c r="K209" s="3">
        <v>23</v>
      </c>
      <c r="L209" s="3">
        <v>34</v>
      </c>
      <c r="M209" s="3"/>
      <c r="N209" s="3">
        <v>45.3</v>
      </c>
      <c r="O209" s="3">
        <v>70.59</v>
      </c>
      <c r="P209" s="3">
        <v>105.10326070000001</v>
      </c>
      <c r="Q209" s="3">
        <v>14.583771799999999</v>
      </c>
      <c r="R209" s="3">
        <v>50.35</v>
      </c>
      <c r="S209" s="3">
        <v>122.7361544</v>
      </c>
      <c r="T209" s="3">
        <v>28.329689370000001</v>
      </c>
      <c r="U209" s="3">
        <v>89.6</v>
      </c>
      <c r="V209" s="3">
        <v>3.5</v>
      </c>
      <c r="W209" s="3"/>
      <c r="X209" s="3">
        <v>79.716797799999995</v>
      </c>
      <c r="Y209" s="3"/>
    </row>
    <row r="210" spans="1:25" x14ac:dyDescent="0.3">
      <c r="A210" s="2" t="s">
        <v>252</v>
      </c>
      <c r="B210" s="2" t="s">
        <v>150</v>
      </c>
      <c r="C210" s="2" t="s">
        <v>143</v>
      </c>
      <c r="D210" s="2" t="s">
        <v>157</v>
      </c>
      <c r="E210" s="2">
        <v>2</v>
      </c>
      <c r="F210" s="2">
        <v>1</v>
      </c>
      <c r="G210" s="2">
        <v>2</v>
      </c>
      <c r="H210" s="2">
        <v>1</v>
      </c>
      <c r="I210" s="3">
        <v>22.35</v>
      </c>
      <c r="J210" s="3">
        <v>10.09</v>
      </c>
      <c r="K210" s="3">
        <v>20</v>
      </c>
      <c r="L210" s="3">
        <v>30</v>
      </c>
      <c r="M210" s="3">
        <v>14.377000000000001</v>
      </c>
      <c r="N210" s="3">
        <v>43.6</v>
      </c>
      <c r="O210" s="3">
        <v>63.02</v>
      </c>
      <c r="P210" s="3">
        <v>102.36103730000001</v>
      </c>
      <c r="Q210" s="3">
        <v>18.918586099999999</v>
      </c>
      <c r="R210" s="3">
        <v>49.73</v>
      </c>
      <c r="S210" s="3">
        <v>118.8279229</v>
      </c>
      <c r="T210" s="3">
        <v>21.630705030000001</v>
      </c>
      <c r="U210" s="3">
        <v>80.52</v>
      </c>
      <c r="V210" s="3">
        <v>6</v>
      </c>
      <c r="W210" s="3">
        <v>17.044799999999999</v>
      </c>
      <c r="X210" s="3">
        <v>68.628454219999995</v>
      </c>
      <c r="Y210" s="3"/>
    </row>
    <row r="211" spans="1:25" x14ac:dyDescent="0.3">
      <c r="A211" s="2" t="s">
        <v>253</v>
      </c>
      <c r="B211" s="2" t="s">
        <v>150</v>
      </c>
      <c r="C211" s="2" t="s">
        <v>143</v>
      </c>
      <c r="D211" s="2" t="s">
        <v>157</v>
      </c>
      <c r="E211" s="2">
        <v>2</v>
      </c>
      <c r="F211" s="2">
        <v>1</v>
      </c>
      <c r="G211" s="2">
        <v>2</v>
      </c>
      <c r="H211" s="2">
        <v>2</v>
      </c>
      <c r="I211" s="3">
        <v>19.649999999999999</v>
      </c>
      <c r="J211" s="3">
        <v>10.18</v>
      </c>
      <c r="K211" s="3">
        <v>19</v>
      </c>
      <c r="L211" s="3">
        <v>34</v>
      </c>
      <c r="M211" s="3">
        <v>12.446</v>
      </c>
      <c r="N211" s="3">
        <v>47.2</v>
      </c>
      <c r="O211" s="3">
        <v>64.83</v>
      </c>
      <c r="P211" s="3">
        <v>106.4928354</v>
      </c>
      <c r="Q211" s="3">
        <v>16.238134129999999</v>
      </c>
      <c r="R211" s="3">
        <v>44.77</v>
      </c>
      <c r="S211" s="3">
        <v>125.6837431</v>
      </c>
      <c r="T211" s="3">
        <v>25.029360759999999</v>
      </c>
      <c r="U211" s="3">
        <v>92.02</v>
      </c>
      <c r="V211" s="3">
        <v>4.5</v>
      </c>
      <c r="W211" s="3">
        <v>11.323</v>
      </c>
      <c r="X211" s="3">
        <v>78.908820950000006</v>
      </c>
      <c r="Y211" s="3"/>
    </row>
    <row r="212" spans="1:25" x14ac:dyDescent="0.3">
      <c r="A212" s="2" t="s">
        <v>254</v>
      </c>
      <c r="B212" s="2" t="s">
        <v>150</v>
      </c>
      <c r="C212" s="2" t="s">
        <v>143</v>
      </c>
      <c r="D212" s="2" t="s">
        <v>157</v>
      </c>
      <c r="E212" s="2">
        <v>2</v>
      </c>
      <c r="F212" s="2">
        <v>1</v>
      </c>
      <c r="G212" s="2">
        <v>2</v>
      </c>
      <c r="H212" s="2">
        <v>3</v>
      </c>
      <c r="I212" s="3">
        <v>23.84</v>
      </c>
      <c r="J212" s="3">
        <v>10.050000000000001</v>
      </c>
      <c r="K212" s="3">
        <v>21</v>
      </c>
      <c r="L212" s="3">
        <v>38</v>
      </c>
      <c r="M212" s="3">
        <v>9.6891999999999996</v>
      </c>
      <c r="N212" s="3">
        <v>49</v>
      </c>
      <c r="O212" s="3">
        <v>77.400000000000006</v>
      </c>
      <c r="P212" s="3">
        <v>108.0988241</v>
      </c>
      <c r="Q212" s="3">
        <v>15.64405638</v>
      </c>
      <c r="R212" s="3">
        <v>46.12</v>
      </c>
      <c r="S212" s="3">
        <v>124.4510409</v>
      </c>
      <c r="T212" s="3">
        <v>27.346359899999999</v>
      </c>
      <c r="U212" s="3">
        <v>86.1</v>
      </c>
      <c r="V212" s="3">
        <v>4</v>
      </c>
      <c r="W212" s="3">
        <v>19.564</v>
      </c>
      <c r="X212" s="3">
        <v>68.61620164</v>
      </c>
      <c r="Y212" s="3"/>
    </row>
    <row r="213" spans="1:25" x14ac:dyDescent="0.3">
      <c r="A213" s="2" t="s">
        <v>255</v>
      </c>
      <c r="B213" s="2" t="s">
        <v>150</v>
      </c>
      <c r="C213" s="2" t="s">
        <v>143</v>
      </c>
      <c r="D213" s="2" t="s">
        <v>157</v>
      </c>
      <c r="E213" s="2">
        <v>2</v>
      </c>
      <c r="F213" s="2">
        <v>1</v>
      </c>
      <c r="G213" s="2">
        <v>2</v>
      </c>
      <c r="H213" s="2">
        <v>4</v>
      </c>
      <c r="I213" s="3">
        <v>21.66</v>
      </c>
      <c r="J213" s="3">
        <v>11.07</v>
      </c>
      <c r="K213" s="3">
        <v>18</v>
      </c>
      <c r="L213" s="3">
        <v>33</v>
      </c>
      <c r="M213" s="3">
        <v>13.163</v>
      </c>
      <c r="N213" s="3">
        <v>47.9</v>
      </c>
      <c r="O213" s="3">
        <v>66.2</v>
      </c>
      <c r="P213" s="3">
        <v>83.981814310000004</v>
      </c>
      <c r="Q213" s="3">
        <v>26.707182549999999</v>
      </c>
      <c r="R213" s="3">
        <v>45.86</v>
      </c>
      <c r="S213" s="3">
        <v>126.3388995</v>
      </c>
      <c r="T213" s="3">
        <v>26.343130030000001</v>
      </c>
      <c r="U213" s="3">
        <v>88.25</v>
      </c>
      <c r="V213" s="3">
        <v>4.5</v>
      </c>
      <c r="W213" s="3">
        <v>17.848800000000001</v>
      </c>
      <c r="X213" s="3">
        <v>59.917223370000002</v>
      </c>
      <c r="Y213" s="3"/>
    </row>
    <row r="214" spans="1:25" x14ac:dyDescent="0.3">
      <c r="A214" s="2" t="s">
        <v>256</v>
      </c>
      <c r="B214" s="2" t="s">
        <v>150</v>
      </c>
      <c r="C214" s="2" t="s">
        <v>143</v>
      </c>
      <c r="D214" s="2" t="s">
        <v>157</v>
      </c>
      <c r="E214" s="2">
        <v>2</v>
      </c>
      <c r="F214" s="2">
        <v>1</v>
      </c>
      <c r="G214" s="2">
        <v>2</v>
      </c>
      <c r="H214" s="2">
        <v>5</v>
      </c>
      <c r="I214" s="3">
        <v>22.9</v>
      </c>
      <c r="J214" s="3">
        <v>11.21</v>
      </c>
      <c r="K214" s="3">
        <v>20</v>
      </c>
      <c r="L214" s="3">
        <v>35</v>
      </c>
      <c r="M214" s="3">
        <v>11.63</v>
      </c>
      <c r="N214" s="3">
        <v>42.6</v>
      </c>
      <c r="O214" s="3">
        <v>69.930000000000007</v>
      </c>
      <c r="P214" s="3">
        <v>101.05079000000001</v>
      </c>
      <c r="Q214" s="3">
        <v>20.398247470000001</v>
      </c>
      <c r="R214" s="3">
        <v>48.23</v>
      </c>
      <c r="S214" s="3">
        <v>122.9492118</v>
      </c>
      <c r="T214" s="3">
        <v>31.32931056</v>
      </c>
      <c r="U214" s="3">
        <v>89.325999999999993</v>
      </c>
      <c r="V214" s="3">
        <v>4.5</v>
      </c>
      <c r="W214" s="3">
        <v>19.979399999999998</v>
      </c>
      <c r="X214" s="3">
        <v>75.461685540000005</v>
      </c>
      <c r="Y214" s="3"/>
    </row>
    <row r="215" spans="1:25" x14ac:dyDescent="0.3">
      <c r="A215" s="2" t="s">
        <v>257</v>
      </c>
      <c r="B215" s="2" t="s">
        <v>30</v>
      </c>
      <c r="C215" s="2" t="s">
        <v>31</v>
      </c>
      <c r="D215" s="2" t="s">
        <v>54</v>
      </c>
      <c r="E215" s="2">
        <v>2</v>
      </c>
      <c r="F215" s="2">
        <v>1</v>
      </c>
      <c r="G215" s="2">
        <v>2</v>
      </c>
      <c r="H215" s="2">
        <v>1</v>
      </c>
      <c r="I215" s="3">
        <v>58.38</v>
      </c>
      <c r="J215" s="3">
        <v>19</v>
      </c>
      <c r="K215" s="3">
        <v>26</v>
      </c>
      <c r="L215" s="3">
        <v>62</v>
      </c>
      <c r="M215" s="3">
        <v>13.64</v>
      </c>
      <c r="N215" s="3">
        <v>41.6</v>
      </c>
      <c r="O215" s="3">
        <v>71.5</v>
      </c>
      <c r="P215" s="3">
        <v>66.096078329999997</v>
      </c>
      <c r="Q215" s="3">
        <v>16.934817949999999</v>
      </c>
      <c r="R215" s="3">
        <v>45.89</v>
      </c>
      <c r="S215" s="3">
        <v>124.29477850000001</v>
      </c>
      <c r="T215" s="3">
        <v>31.51982233</v>
      </c>
      <c r="U215" s="3">
        <v>89.34</v>
      </c>
      <c r="V215" s="3">
        <v>5</v>
      </c>
      <c r="W215" s="3">
        <v>12.006399999999999</v>
      </c>
      <c r="X215" s="3">
        <v>76.161472439999997</v>
      </c>
      <c r="Y215" s="3"/>
    </row>
    <row r="216" spans="1:25" x14ac:dyDescent="0.3">
      <c r="A216" s="2" t="s">
        <v>258</v>
      </c>
      <c r="B216" s="2" t="s">
        <v>30</v>
      </c>
      <c r="C216" s="2" t="s">
        <v>31</v>
      </c>
      <c r="D216" s="2" t="s">
        <v>54</v>
      </c>
      <c r="E216" s="2">
        <v>2</v>
      </c>
      <c r="F216" s="2">
        <v>1</v>
      </c>
      <c r="G216" s="2">
        <v>2</v>
      </c>
      <c r="H216" s="2">
        <v>2</v>
      </c>
      <c r="I216" s="3">
        <v>40.35</v>
      </c>
      <c r="J216" s="3">
        <v>18</v>
      </c>
      <c r="K216" s="3">
        <v>24</v>
      </c>
      <c r="L216" s="3">
        <v>60</v>
      </c>
      <c r="M216" s="3">
        <v>17.917999999999999</v>
      </c>
      <c r="N216" s="3">
        <v>50.4</v>
      </c>
      <c r="O216" s="3">
        <v>62.06</v>
      </c>
      <c r="P216" s="3">
        <v>46.007016720000003</v>
      </c>
      <c r="Q216" s="3">
        <v>15.91945028</v>
      </c>
      <c r="R216" s="3">
        <v>43.75</v>
      </c>
      <c r="S216" s="3">
        <v>125.69626</v>
      </c>
      <c r="T216" s="3">
        <v>27.249713759999999</v>
      </c>
      <c r="U216" s="3">
        <v>91.41</v>
      </c>
      <c r="V216" s="3">
        <v>7</v>
      </c>
      <c r="W216" s="3">
        <v>10.210800000000001</v>
      </c>
      <c r="X216" s="3">
        <v>100.5198432</v>
      </c>
      <c r="Y216" s="3"/>
    </row>
    <row r="217" spans="1:25" x14ac:dyDescent="0.3">
      <c r="A217" s="2" t="s">
        <v>259</v>
      </c>
      <c r="B217" s="2" t="s">
        <v>30</v>
      </c>
      <c r="C217" s="2" t="s">
        <v>31</v>
      </c>
      <c r="D217" s="2" t="s">
        <v>54</v>
      </c>
      <c r="E217" s="2">
        <v>2</v>
      </c>
      <c r="F217" s="2">
        <v>1</v>
      </c>
      <c r="G217" s="2">
        <v>2</v>
      </c>
      <c r="H217" s="2">
        <v>3</v>
      </c>
      <c r="I217" s="3">
        <v>38.61</v>
      </c>
      <c r="J217" s="3">
        <v>18.670000000000002</v>
      </c>
      <c r="K217" s="3">
        <v>26</v>
      </c>
      <c r="L217" s="3">
        <v>57</v>
      </c>
      <c r="M217" s="3">
        <v>10.317</v>
      </c>
      <c r="N217" s="3">
        <v>43.5</v>
      </c>
      <c r="O217" s="3">
        <v>68.75</v>
      </c>
      <c r="P217" s="3">
        <v>71.228102129999996</v>
      </c>
      <c r="Q217" s="3">
        <v>18.607868493000002</v>
      </c>
      <c r="R217" s="3">
        <v>46.85</v>
      </c>
      <c r="S217" s="3">
        <v>122.87300399999999</v>
      </c>
      <c r="T217" s="3">
        <v>25.682455099999999</v>
      </c>
      <c r="U217" s="3">
        <v>92.22</v>
      </c>
      <c r="V217" s="3">
        <v>7.5</v>
      </c>
      <c r="W217" s="3">
        <v>10.974600000000001</v>
      </c>
      <c r="X217" s="3">
        <v>85.565092039999996</v>
      </c>
      <c r="Y217" s="3"/>
    </row>
    <row r="218" spans="1:25" x14ac:dyDescent="0.3">
      <c r="A218" s="2" t="s">
        <v>260</v>
      </c>
      <c r="B218" s="2" t="s">
        <v>30</v>
      </c>
      <c r="C218" s="2" t="s">
        <v>31</v>
      </c>
      <c r="D218" s="2" t="s">
        <v>54</v>
      </c>
      <c r="E218" s="2">
        <v>2</v>
      </c>
      <c r="F218" s="2">
        <v>1</v>
      </c>
      <c r="G218" s="2">
        <v>2</v>
      </c>
      <c r="H218" s="2">
        <v>4</v>
      </c>
      <c r="I218" s="3">
        <v>36.479999999999997</v>
      </c>
      <c r="J218" s="3">
        <v>18.38</v>
      </c>
      <c r="K218" s="3">
        <v>27</v>
      </c>
      <c r="L218" s="3">
        <v>50</v>
      </c>
      <c r="M218" s="3">
        <v>18.082999999999998</v>
      </c>
      <c r="N218" s="3">
        <v>45.5</v>
      </c>
      <c r="O218" s="3">
        <v>67.510000000000005</v>
      </c>
      <c r="P218" s="3">
        <v>53.988275639999998</v>
      </c>
      <c r="Q218" s="3">
        <v>16.02179765</v>
      </c>
      <c r="R218" s="3">
        <v>47.78</v>
      </c>
      <c r="S218" s="3">
        <v>122.9074729</v>
      </c>
      <c r="T218" s="3">
        <v>33.720594599999998</v>
      </c>
      <c r="U218" s="3">
        <v>90.25</v>
      </c>
      <c r="V218" s="3"/>
      <c r="W218" s="3">
        <v>13.1454</v>
      </c>
      <c r="X218" s="3">
        <v>114.40242550000001</v>
      </c>
      <c r="Y218" s="3"/>
    </row>
    <row r="219" spans="1:25" x14ac:dyDescent="0.3">
      <c r="A219" s="2" t="s">
        <v>261</v>
      </c>
      <c r="B219" s="2" t="s">
        <v>30</v>
      </c>
      <c r="C219" s="2" t="s">
        <v>31</v>
      </c>
      <c r="D219" s="2" t="s">
        <v>54</v>
      </c>
      <c r="E219" s="2">
        <v>2</v>
      </c>
      <c r="F219" s="2">
        <v>1</v>
      </c>
      <c r="G219" s="2">
        <v>2</v>
      </c>
      <c r="H219" s="2">
        <v>5</v>
      </c>
      <c r="I219" s="3">
        <v>41.49</v>
      </c>
      <c r="J219" s="3">
        <v>17.66</v>
      </c>
      <c r="K219" s="3">
        <v>22</v>
      </c>
      <c r="L219" s="3">
        <v>59</v>
      </c>
      <c r="M219" s="3">
        <v>15.339</v>
      </c>
      <c r="N219" s="3">
        <v>49.7</v>
      </c>
      <c r="O219" s="3">
        <v>80.150000000000006</v>
      </c>
      <c r="P219" s="3">
        <v>84.059766179999997</v>
      </c>
      <c r="Q219" s="3">
        <v>16.95735582</v>
      </c>
      <c r="R219" s="3">
        <v>46.41</v>
      </c>
      <c r="S219" s="3">
        <v>125.2295858</v>
      </c>
      <c r="T219" s="3">
        <v>31.376852929999998</v>
      </c>
      <c r="U219" s="3">
        <v>91.236000000000004</v>
      </c>
      <c r="V219" s="3">
        <v>9</v>
      </c>
      <c r="W219" s="3">
        <v>12.3146</v>
      </c>
      <c r="X219" s="3">
        <v>110.2750376</v>
      </c>
      <c r="Y219" s="3"/>
    </row>
    <row r="220" spans="1:25" x14ac:dyDescent="0.3">
      <c r="A220" s="2" t="s">
        <v>262</v>
      </c>
      <c r="B220" s="2" t="s">
        <v>30</v>
      </c>
      <c r="C220" s="2" t="s">
        <v>31</v>
      </c>
      <c r="D220" s="2" t="s">
        <v>61</v>
      </c>
      <c r="E220" s="2">
        <v>2</v>
      </c>
      <c r="F220" s="2">
        <v>1</v>
      </c>
      <c r="G220" s="2">
        <v>2</v>
      </c>
      <c r="H220" s="2">
        <v>1</v>
      </c>
      <c r="I220" s="3">
        <v>60.94</v>
      </c>
      <c r="J220" s="3">
        <v>16</v>
      </c>
      <c r="K220" s="3">
        <v>27</v>
      </c>
      <c r="L220" s="3">
        <v>52</v>
      </c>
      <c r="M220" s="3">
        <v>13.67</v>
      </c>
      <c r="N220" s="3">
        <v>41.2</v>
      </c>
      <c r="O220" s="3">
        <v>80.84</v>
      </c>
      <c r="P220" s="3">
        <v>106.6367676</v>
      </c>
      <c r="Q220" s="3">
        <v>10.58302887</v>
      </c>
      <c r="R220" s="3">
        <v>47.95</v>
      </c>
      <c r="S220" s="3">
        <v>125.4198147</v>
      </c>
      <c r="T220" s="3">
        <v>30.591793020000001</v>
      </c>
      <c r="U220" s="3">
        <v>87.17</v>
      </c>
      <c r="V220" s="3">
        <v>5.5</v>
      </c>
      <c r="W220" s="3">
        <v>13.6144</v>
      </c>
      <c r="X220" s="3">
        <v>57.909479210000001</v>
      </c>
      <c r="Y220" s="3"/>
    </row>
    <row r="221" spans="1:25" x14ac:dyDescent="0.3">
      <c r="A221" s="2" t="s">
        <v>263</v>
      </c>
      <c r="B221" s="2" t="s">
        <v>30</v>
      </c>
      <c r="C221" s="2" t="s">
        <v>31</v>
      </c>
      <c r="D221" s="2" t="s">
        <v>61</v>
      </c>
      <c r="E221" s="2">
        <v>2</v>
      </c>
      <c r="F221" s="2">
        <v>1</v>
      </c>
      <c r="G221" s="2">
        <v>2</v>
      </c>
      <c r="H221" s="2">
        <v>2</v>
      </c>
      <c r="I221" s="3">
        <v>56.3</v>
      </c>
      <c r="J221" s="3">
        <v>20</v>
      </c>
      <c r="K221" s="3">
        <v>29</v>
      </c>
      <c r="L221" s="3">
        <v>54</v>
      </c>
      <c r="M221" s="3">
        <v>6.9855</v>
      </c>
      <c r="N221" s="3">
        <v>45.3</v>
      </c>
      <c r="O221" s="3">
        <v>74.83</v>
      </c>
      <c r="P221" s="3">
        <v>107.6589796</v>
      </c>
      <c r="Q221" s="3">
        <v>8.1752369999999992</v>
      </c>
      <c r="R221" s="3">
        <v>46.7</v>
      </c>
      <c r="S221" s="3">
        <v>125.7980805</v>
      </c>
      <c r="T221" s="3">
        <v>27.592825149999999</v>
      </c>
      <c r="U221" s="3">
        <v>85.2</v>
      </c>
      <c r="V221" s="3">
        <v>5</v>
      </c>
      <c r="W221" s="3">
        <v>11.792</v>
      </c>
      <c r="X221" s="3">
        <v>74.897246280000005</v>
      </c>
      <c r="Y221" s="3"/>
    </row>
    <row r="222" spans="1:25" x14ac:dyDescent="0.3">
      <c r="A222" s="2" t="s">
        <v>264</v>
      </c>
      <c r="B222" s="2" t="s">
        <v>30</v>
      </c>
      <c r="C222" s="2" t="s">
        <v>31</v>
      </c>
      <c r="D222" s="2" t="s">
        <v>61</v>
      </c>
      <c r="E222" s="2">
        <v>2</v>
      </c>
      <c r="F222" s="2">
        <v>1</v>
      </c>
      <c r="G222" s="2">
        <v>2</v>
      </c>
      <c r="H222" s="2">
        <v>3</v>
      </c>
      <c r="I222" s="3">
        <v>62.1</v>
      </c>
      <c r="J222" s="3">
        <v>22</v>
      </c>
      <c r="K222" s="3">
        <v>30</v>
      </c>
      <c r="L222" s="3">
        <v>56</v>
      </c>
      <c r="M222" s="3">
        <v>15.109</v>
      </c>
      <c r="N222" s="3">
        <v>43.9</v>
      </c>
      <c r="O222" s="3">
        <v>82.9</v>
      </c>
      <c r="P222" s="3">
        <v>101.06263629999999</v>
      </c>
      <c r="Q222" s="3">
        <v>10.005938240000001</v>
      </c>
      <c r="R222" s="3">
        <v>48.63</v>
      </c>
      <c r="S222" s="3">
        <v>125.0896913</v>
      </c>
      <c r="T222" s="3">
        <v>32.581720339999997</v>
      </c>
      <c r="U222" s="3">
        <v>88.1</v>
      </c>
      <c r="V222" s="3">
        <v>5</v>
      </c>
      <c r="W222" s="3">
        <v>15.8924</v>
      </c>
      <c r="X222" s="3">
        <v>55.055794640000002</v>
      </c>
      <c r="Y222" s="3"/>
    </row>
    <row r="223" spans="1:25" x14ac:dyDescent="0.3">
      <c r="A223" s="2" t="s">
        <v>265</v>
      </c>
      <c r="B223" s="2" t="s">
        <v>30</v>
      </c>
      <c r="C223" s="2" t="s">
        <v>31</v>
      </c>
      <c r="D223" s="2" t="s">
        <v>61</v>
      </c>
      <c r="E223" s="2">
        <v>2</v>
      </c>
      <c r="F223" s="2">
        <v>1</v>
      </c>
      <c r="G223" s="2">
        <v>2</v>
      </c>
      <c r="H223" s="2">
        <v>4</v>
      </c>
      <c r="I223" s="3">
        <v>60.98</v>
      </c>
      <c r="J223" s="3">
        <v>21</v>
      </c>
      <c r="K223" s="3">
        <v>26</v>
      </c>
      <c r="L223" s="3">
        <v>54</v>
      </c>
      <c r="M223" s="3">
        <v>14.176</v>
      </c>
      <c r="N223" s="3">
        <v>43.1</v>
      </c>
      <c r="O223" s="3">
        <v>76.239999999999995</v>
      </c>
      <c r="P223" s="3">
        <v>99.148927380000003</v>
      </c>
      <c r="Q223" s="3">
        <v>13.83602544</v>
      </c>
      <c r="R223" s="3">
        <v>49.93</v>
      </c>
      <c r="S223" s="3">
        <v>122.7667209</v>
      </c>
      <c r="T223" s="3">
        <v>25.996624780000001</v>
      </c>
      <c r="U223" s="3">
        <v>86.521500000000003</v>
      </c>
      <c r="V223" s="3">
        <v>5.5</v>
      </c>
      <c r="W223" s="3">
        <v>15.7584</v>
      </c>
      <c r="X223" s="3">
        <v>49.064515450000002</v>
      </c>
      <c r="Y223" s="3"/>
    </row>
    <row r="224" spans="1:25" x14ac:dyDescent="0.3">
      <c r="A224" s="2" t="s">
        <v>266</v>
      </c>
      <c r="B224" s="2" t="s">
        <v>30</v>
      </c>
      <c r="C224" s="2" t="s">
        <v>31</v>
      </c>
      <c r="D224" s="2" t="s">
        <v>61</v>
      </c>
      <c r="E224" s="2">
        <v>2</v>
      </c>
      <c r="F224" s="2">
        <v>1</v>
      </c>
      <c r="G224" s="2">
        <v>2</v>
      </c>
      <c r="H224" s="2">
        <v>5</v>
      </c>
      <c r="I224" s="3">
        <v>58.35</v>
      </c>
      <c r="J224" s="3">
        <v>22</v>
      </c>
      <c r="K224" s="3">
        <v>28</v>
      </c>
      <c r="L224" s="3">
        <v>52</v>
      </c>
      <c r="M224" s="3">
        <v>6.984</v>
      </c>
      <c r="N224" s="3">
        <v>50.2</v>
      </c>
      <c r="O224" s="3">
        <v>77.67</v>
      </c>
      <c r="P224" s="3">
        <v>104.5226997</v>
      </c>
      <c r="Q224" s="3">
        <v>14.276161950000001</v>
      </c>
      <c r="R224" s="3">
        <v>45.47</v>
      </c>
      <c r="S224" s="3">
        <v>129.5367396</v>
      </c>
      <c r="T224" s="3">
        <v>23.767747050000001</v>
      </c>
      <c r="U224" s="3">
        <v>88.25</v>
      </c>
      <c r="V224" s="3">
        <v>5.5</v>
      </c>
      <c r="W224" s="3">
        <v>12.06</v>
      </c>
      <c r="X224" s="3">
        <v>59.329970359999997</v>
      </c>
      <c r="Y224" s="3"/>
    </row>
    <row r="225" spans="1:25" x14ac:dyDescent="0.3">
      <c r="A225" s="2" t="s">
        <v>267</v>
      </c>
      <c r="B225" s="2" t="s">
        <v>150</v>
      </c>
      <c r="C225" s="2" t="s">
        <v>143</v>
      </c>
      <c r="D225" s="2" t="s">
        <v>151</v>
      </c>
      <c r="E225" s="2">
        <v>2</v>
      </c>
      <c r="F225" s="2">
        <v>1</v>
      </c>
      <c r="G225" s="2">
        <v>2</v>
      </c>
      <c r="H225" s="2">
        <v>1</v>
      </c>
      <c r="I225" s="3">
        <v>28.24</v>
      </c>
      <c r="J225" s="3">
        <v>11.58</v>
      </c>
      <c r="K225" s="3">
        <v>17</v>
      </c>
      <c r="L225" s="3">
        <v>45</v>
      </c>
      <c r="M225" s="3">
        <v>17.545000000000002</v>
      </c>
      <c r="N225" s="3">
        <v>41.8</v>
      </c>
      <c r="O225" s="3">
        <v>75.06</v>
      </c>
      <c r="P225" s="3">
        <v>103.6400507</v>
      </c>
      <c r="Q225" s="3">
        <v>16.495241740000001</v>
      </c>
      <c r="R225" s="3">
        <v>52.33</v>
      </c>
      <c r="S225" s="3">
        <v>120.3556737</v>
      </c>
      <c r="T225" s="3">
        <v>29.423952830000001</v>
      </c>
      <c r="U225" s="3">
        <v>87.782805429864254</v>
      </c>
      <c r="V225" s="3">
        <v>5.5</v>
      </c>
      <c r="W225" s="3">
        <v>18.9208</v>
      </c>
      <c r="X225" s="3">
        <v>77.290612170000003</v>
      </c>
      <c r="Y225" s="3"/>
    </row>
    <row r="226" spans="1:25" x14ac:dyDescent="0.3">
      <c r="A226" s="2" t="s">
        <v>268</v>
      </c>
      <c r="B226" s="2" t="s">
        <v>150</v>
      </c>
      <c r="C226" s="2" t="s">
        <v>143</v>
      </c>
      <c r="D226" s="2" t="s">
        <v>151</v>
      </c>
      <c r="E226" s="2">
        <v>2</v>
      </c>
      <c r="F226" s="2">
        <v>1</v>
      </c>
      <c r="G226" s="2">
        <v>2</v>
      </c>
      <c r="H226" s="2">
        <v>2</v>
      </c>
      <c r="I226" s="3">
        <v>30.58</v>
      </c>
      <c r="J226" s="3">
        <v>10.95</v>
      </c>
      <c r="K226" s="3">
        <v>18</v>
      </c>
      <c r="L226" s="3">
        <v>52</v>
      </c>
      <c r="M226" s="3">
        <v>12.186</v>
      </c>
      <c r="N226" s="3">
        <v>38.700000000000003</v>
      </c>
      <c r="O226" s="3">
        <v>77.73</v>
      </c>
      <c r="P226" s="3">
        <v>102.3077766</v>
      </c>
      <c r="Q226" s="3">
        <v>15.7622841</v>
      </c>
      <c r="R226" s="3">
        <v>49.79</v>
      </c>
      <c r="S226" s="3">
        <v>122.9362935</v>
      </c>
      <c r="T226" s="3">
        <v>28.894058210000001</v>
      </c>
      <c r="U226" s="3">
        <v>90.523690773067329</v>
      </c>
      <c r="V226" s="3">
        <v>4.5</v>
      </c>
      <c r="W226" s="3">
        <v>18.304400000000001</v>
      </c>
      <c r="X226" s="3">
        <v>63.528601170000002</v>
      </c>
      <c r="Y226" s="3"/>
    </row>
    <row r="227" spans="1:25" x14ac:dyDescent="0.3">
      <c r="A227" s="2" t="s">
        <v>269</v>
      </c>
      <c r="B227" s="2" t="s">
        <v>150</v>
      </c>
      <c r="C227" s="2" t="s">
        <v>143</v>
      </c>
      <c r="D227" s="2" t="s">
        <v>151</v>
      </c>
      <c r="E227" s="2">
        <v>2</v>
      </c>
      <c r="F227" s="2">
        <v>1</v>
      </c>
      <c r="G227" s="2">
        <v>2</v>
      </c>
      <c r="H227" s="2">
        <v>3</v>
      </c>
      <c r="I227" s="3">
        <v>37.31</v>
      </c>
      <c r="J227" s="3">
        <v>12.28</v>
      </c>
      <c r="K227" s="3">
        <v>20</v>
      </c>
      <c r="L227" s="3">
        <v>50</v>
      </c>
      <c r="M227" s="3">
        <v>11.42</v>
      </c>
      <c r="N227" s="3">
        <v>42.7</v>
      </c>
      <c r="O227" s="3">
        <v>77.63</v>
      </c>
      <c r="P227" s="3">
        <v>106.0836671</v>
      </c>
      <c r="Q227" s="3">
        <v>15.340472610000001</v>
      </c>
      <c r="R227" s="3">
        <v>51.59</v>
      </c>
      <c r="S227" s="3">
        <v>121.97547969999999</v>
      </c>
      <c r="T227" s="3">
        <v>34.859094939999999</v>
      </c>
      <c r="U227" s="3">
        <v>91.45</v>
      </c>
      <c r="V227" s="3">
        <v>5.5</v>
      </c>
      <c r="W227" s="3">
        <v>17.473600000000001</v>
      </c>
      <c r="X227" s="3">
        <v>71.934347489999993</v>
      </c>
      <c r="Y227" s="3"/>
    </row>
    <row r="228" spans="1:25" x14ac:dyDescent="0.3">
      <c r="A228" s="2" t="s">
        <v>270</v>
      </c>
      <c r="B228" s="2" t="s">
        <v>150</v>
      </c>
      <c r="C228" s="2" t="s">
        <v>143</v>
      </c>
      <c r="D228" s="2" t="s">
        <v>151</v>
      </c>
      <c r="E228" s="2">
        <v>2</v>
      </c>
      <c r="F228" s="2">
        <v>1</v>
      </c>
      <c r="G228" s="2">
        <v>2</v>
      </c>
      <c r="H228" s="2">
        <v>4</v>
      </c>
      <c r="I228" s="3">
        <v>35.590000000000003</v>
      </c>
      <c r="J228" s="3">
        <v>13.83</v>
      </c>
      <c r="K228" s="3">
        <v>19</v>
      </c>
      <c r="L228" s="3">
        <v>53</v>
      </c>
      <c r="M228" s="3">
        <v>12.31</v>
      </c>
      <c r="N228" s="3">
        <v>41.2</v>
      </c>
      <c r="O228" s="3">
        <v>70.08</v>
      </c>
      <c r="P228" s="3">
        <v>110.2663787</v>
      </c>
      <c r="Q228" s="3">
        <v>17.610235660000001</v>
      </c>
      <c r="R228" s="3">
        <v>46.21</v>
      </c>
      <c r="S228" s="3">
        <v>124.92734609999999</v>
      </c>
      <c r="T228" s="3">
        <v>22.600984489999998</v>
      </c>
      <c r="U228" s="3">
        <v>91.477272727272734</v>
      </c>
      <c r="V228" s="3">
        <v>5.5</v>
      </c>
      <c r="W228" s="3">
        <v>12.287800000000001</v>
      </c>
      <c r="X228" s="3">
        <v>83.481613429999996</v>
      </c>
      <c r="Y228" s="3"/>
    </row>
    <row r="229" spans="1:25" x14ac:dyDescent="0.3">
      <c r="A229" s="2" t="s">
        <v>271</v>
      </c>
      <c r="B229" s="2" t="s">
        <v>150</v>
      </c>
      <c r="C229" s="2" t="s">
        <v>143</v>
      </c>
      <c r="D229" s="2" t="s">
        <v>151</v>
      </c>
      <c r="E229" s="2">
        <v>2</v>
      </c>
      <c r="F229" s="2">
        <v>1</v>
      </c>
      <c r="G229" s="2">
        <v>2</v>
      </c>
      <c r="H229" s="2">
        <v>5</v>
      </c>
      <c r="I229" s="3">
        <v>37.56</v>
      </c>
      <c r="J229" s="3">
        <v>10.97</v>
      </c>
      <c r="K229" s="3">
        <v>17</v>
      </c>
      <c r="L229" s="3">
        <v>48</v>
      </c>
      <c r="M229" s="3">
        <v>13.55</v>
      </c>
      <c r="N229" s="3">
        <v>43.9</v>
      </c>
      <c r="O229" s="3">
        <v>74.47</v>
      </c>
      <c r="P229" s="3">
        <v>108.3974822</v>
      </c>
      <c r="Q229" s="3">
        <v>14.60656359</v>
      </c>
      <c r="R229" s="3">
        <v>49.62</v>
      </c>
      <c r="S229" s="3">
        <v>123.6848129</v>
      </c>
      <c r="T229" s="3">
        <v>32.003427940000002</v>
      </c>
      <c r="U229" s="3">
        <v>88.764044943820224</v>
      </c>
      <c r="V229" s="3">
        <v>5.5</v>
      </c>
      <c r="W229" s="3">
        <v>21.306000000000012</v>
      </c>
      <c r="X229" s="3">
        <v>70.848950639999998</v>
      </c>
      <c r="Y229" s="3"/>
    </row>
    <row r="230" spans="1:25" x14ac:dyDescent="0.3">
      <c r="A230" s="2" t="s">
        <v>272</v>
      </c>
      <c r="B230" s="2" t="s">
        <v>150</v>
      </c>
      <c r="C230" s="2" t="s">
        <v>143</v>
      </c>
      <c r="D230" s="2" t="s">
        <v>169</v>
      </c>
      <c r="E230" s="2">
        <v>2</v>
      </c>
      <c r="F230" s="2">
        <v>2</v>
      </c>
      <c r="G230" s="2">
        <v>6</v>
      </c>
      <c r="H230" s="2">
        <v>1</v>
      </c>
      <c r="I230" s="3">
        <v>22.28</v>
      </c>
      <c r="J230" s="3">
        <v>15.6</v>
      </c>
      <c r="K230" s="3">
        <v>21</v>
      </c>
      <c r="L230" s="3">
        <v>34</v>
      </c>
      <c r="M230" s="3">
        <v>4.5816999999999997</v>
      </c>
      <c r="N230" s="3">
        <v>48</v>
      </c>
      <c r="O230" s="3">
        <v>71.150000000000006</v>
      </c>
      <c r="P230" s="3">
        <v>104.3088793</v>
      </c>
      <c r="Q230" s="3">
        <v>14.7681617</v>
      </c>
      <c r="R230" s="3">
        <v>50.9</v>
      </c>
      <c r="S230" s="3">
        <v>119.51818950000001</v>
      </c>
      <c r="T230" s="3">
        <v>26.993890050000001</v>
      </c>
      <c r="U230" s="3">
        <v>89.638554216867504</v>
      </c>
      <c r="V230" s="3">
        <v>2</v>
      </c>
      <c r="W230" s="3">
        <v>13.3062</v>
      </c>
      <c r="X230" s="3">
        <v>58.589804010000002</v>
      </c>
      <c r="Y230" s="3"/>
    </row>
    <row r="231" spans="1:25" x14ac:dyDescent="0.3">
      <c r="A231" s="2" t="s">
        <v>273</v>
      </c>
      <c r="B231" s="2" t="s">
        <v>150</v>
      </c>
      <c r="C231" s="2" t="s">
        <v>143</v>
      </c>
      <c r="D231" s="2" t="s">
        <v>169</v>
      </c>
      <c r="E231" s="2">
        <v>2</v>
      </c>
      <c r="F231" s="2">
        <v>2</v>
      </c>
      <c r="G231" s="2">
        <v>6</v>
      </c>
      <c r="H231" s="2">
        <v>2</v>
      </c>
      <c r="I231" s="3">
        <v>27.7</v>
      </c>
      <c r="J231" s="3">
        <v>16.579999999999998</v>
      </c>
      <c r="K231" s="3">
        <v>24</v>
      </c>
      <c r="L231" s="3">
        <v>36</v>
      </c>
      <c r="M231" s="3">
        <v>20.532</v>
      </c>
      <c r="N231" s="3">
        <v>31.4</v>
      </c>
      <c r="O231" s="3">
        <v>62</v>
      </c>
      <c r="P231" s="3">
        <v>78.833220060000002</v>
      </c>
      <c r="Q231" s="3">
        <v>25.869760339999999</v>
      </c>
      <c r="R231" s="3">
        <v>60.41</v>
      </c>
      <c r="S231" s="3">
        <v>114.6010891</v>
      </c>
      <c r="T231" s="3">
        <v>40.067035079999997</v>
      </c>
      <c r="U231" s="3">
        <v>88.372093023255815</v>
      </c>
      <c r="V231" s="3">
        <v>2.5</v>
      </c>
      <c r="W231" s="3">
        <v>18.116800000000001</v>
      </c>
      <c r="X231" s="3">
        <v>54.826657089999998</v>
      </c>
      <c r="Y231" s="3"/>
    </row>
    <row r="232" spans="1:25" x14ac:dyDescent="0.3">
      <c r="A232" s="2" t="s">
        <v>274</v>
      </c>
      <c r="B232" s="2" t="s">
        <v>150</v>
      </c>
      <c r="C232" s="2" t="s">
        <v>143</v>
      </c>
      <c r="D232" s="2" t="s">
        <v>169</v>
      </c>
      <c r="E232" s="2">
        <v>2</v>
      </c>
      <c r="F232" s="2">
        <v>2</v>
      </c>
      <c r="G232" s="2">
        <v>6</v>
      </c>
      <c r="H232" s="2">
        <v>3</v>
      </c>
      <c r="I232" s="3">
        <v>20.46</v>
      </c>
      <c r="J232" s="3">
        <v>14.16</v>
      </c>
      <c r="K232" s="3">
        <v>23</v>
      </c>
      <c r="L232" s="3">
        <v>38</v>
      </c>
      <c r="M232" s="3">
        <v>12.534000000000001</v>
      </c>
      <c r="N232" s="3">
        <v>28.5</v>
      </c>
      <c r="O232" s="3">
        <v>75.09</v>
      </c>
      <c r="P232" s="3">
        <v>105.5366008</v>
      </c>
      <c r="Q232" s="3">
        <v>14.44795141</v>
      </c>
      <c r="R232" s="3">
        <v>62.59</v>
      </c>
      <c r="S232" s="3">
        <v>114.8898198</v>
      </c>
      <c r="T232" s="3">
        <v>48.042323009999997</v>
      </c>
      <c r="U232" s="3">
        <v>85.873051224944305</v>
      </c>
      <c r="V232" s="3">
        <v>3.5</v>
      </c>
      <c r="W232" s="3">
        <v>20.126799999999999</v>
      </c>
      <c r="X232" s="3">
        <v>75.619662739999995</v>
      </c>
      <c r="Y232" s="3"/>
    </row>
    <row r="233" spans="1:25" x14ac:dyDescent="0.3">
      <c r="A233" s="2" t="s">
        <v>275</v>
      </c>
      <c r="B233" s="2" t="s">
        <v>150</v>
      </c>
      <c r="C233" s="2" t="s">
        <v>143</v>
      </c>
      <c r="D233" s="2" t="s">
        <v>169</v>
      </c>
      <c r="E233" s="2">
        <v>2</v>
      </c>
      <c r="F233" s="2">
        <v>2</v>
      </c>
      <c r="G233" s="2">
        <v>6</v>
      </c>
      <c r="H233" s="2">
        <v>4</v>
      </c>
      <c r="I233" s="3">
        <v>25.8</v>
      </c>
      <c r="J233" s="3">
        <v>15</v>
      </c>
      <c r="K233" s="3">
        <v>20</v>
      </c>
      <c r="L233" s="3">
        <v>35</v>
      </c>
      <c r="M233" s="3">
        <v>8.5673999999999992</v>
      </c>
      <c r="N233" s="3">
        <v>38.299999999999997</v>
      </c>
      <c r="O233" s="3">
        <v>70.02</v>
      </c>
      <c r="P233" s="3">
        <v>100.08267410000001</v>
      </c>
      <c r="Q233" s="3">
        <v>21.705227480000001</v>
      </c>
      <c r="R233" s="3">
        <v>55.86</v>
      </c>
      <c r="S233" s="3">
        <v>114.8140621</v>
      </c>
      <c r="T233" s="3">
        <v>41.86531858</v>
      </c>
      <c r="U233" s="3">
        <v>86.318407960199011</v>
      </c>
      <c r="V233" s="3">
        <v>3.5</v>
      </c>
      <c r="W233" s="3">
        <v>17.486999999999998</v>
      </c>
      <c r="X233" s="3">
        <v>63.709185580000003</v>
      </c>
      <c r="Y233" s="3"/>
    </row>
    <row r="234" spans="1:25" x14ac:dyDescent="0.3">
      <c r="A234" s="2" t="s">
        <v>276</v>
      </c>
      <c r="B234" s="2" t="s">
        <v>150</v>
      </c>
      <c r="C234" s="2" t="s">
        <v>143</v>
      </c>
      <c r="D234" s="2" t="s">
        <v>169</v>
      </c>
      <c r="E234" s="2">
        <v>2</v>
      </c>
      <c r="F234" s="2">
        <v>2</v>
      </c>
      <c r="G234" s="2">
        <v>6</v>
      </c>
      <c r="H234" s="2">
        <v>5</v>
      </c>
      <c r="I234" s="3">
        <v>28.49</v>
      </c>
      <c r="J234" s="3">
        <v>17</v>
      </c>
      <c r="K234" s="3">
        <v>25</v>
      </c>
      <c r="L234" s="3">
        <v>36</v>
      </c>
      <c r="M234" s="3">
        <v>20.463999999999999</v>
      </c>
      <c r="N234" s="3">
        <v>34.4</v>
      </c>
      <c r="O234" s="3">
        <v>65.756</v>
      </c>
      <c r="P234" s="3">
        <v>91.285641709999993</v>
      </c>
      <c r="Q234" s="3">
        <v>21.835498619999999</v>
      </c>
      <c r="R234" s="3">
        <v>49.1</v>
      </c>
      <c r="S234" s="3">
        <v>120.8549022</v>
      </c>
      <c r="T234" s="3">
        <v>32.5813597</v>
      </c>
      <c r="U234" s="3">
        <v>76.266666666666666</v>
      </c>
      <c r="V234" s="3">
        <v>4</v>
      </c>
      <c r="W234" s="3">
        <v>17.862200000000001</v>
      </c>
      <c r="X234" s="3">
        <v>33.983550579999999</v>
      </c>
      <c r="Y234" s="3"/>
    </row>
    <row r="235" spans="1:25" x14ac:dyDescent="0.3">
      <c r="A235" s="2" t="s">
        <v>277</v>
      </c>
      <c r="B235" s="2" t="s">
        <v>150</v>
      </c>
      <c r="C235" s="2" t="s">
        <v>143</v>
      </c>
      <c r="D235" s="2" t="s">
        <v>157</v>
      </c>
      <c r="E235" s="2">
        <v>2</v>
      </c>
      <c r="F235" s="2">
        <v>2</v>
      </c>
      <c r="G235" s="2">
        <v>6</v>
      </c>
      <c r="H235" s="2">
        <v>1</v>
      </c>
      <c r="I235" s="3">
        <v>16.440000000000001</v>
      </c>
      <c r="J235" s="3">
        <v>9.6999999999999993</v>
      </c>
      <c r="K235" s="3">
        <v>16</v>
      </c>
      <c r="L235" s="3">
        <v>40</v>
      </c>
      <c r="M235" s="3">
        <v>20.45</v>
      </c>
      <c r="N235" s="3">
        <v>44</v>
      </c>
      <c r="O235" s="3">
        <v>67.13</v>
      </c>
      <c r="P235" s="3">
        <v>92.437182770000007</v>
      </c>
      <c r="Q235" s="3">
        <v>16.224678730000001</v>
      </c>
      <c r="R235" s="3">
        <v>45.53</v>
      </c>
      <c r="S235" s="3">
        <v>120.1818293</v>
      </c>
      <c r="T235" s="3">
        <v>32.182989300000003</v>
      </c>
      <c r="U235" s="3">
        <v>89.189189189189193</v>
      </c>
      <c r="V235" s="3">
        <v>4</v>
      </c>
      <c r="W235" s="3"/>
      <c r="X235" s="3">
        <v>42.109525849999997</v>
      </c>
      <c r="Y235" s="3"/>
    </row>
    <row r="236" spans="1:25" x14ac:dyDescent="0.3">
      <c r="A236" s="2" t="s">
        <v>278</v>
      </c>
      <c r="B236" s="2" t="s">
        <v>150</v>
      </c>
      <c r="C236" s="2" t="s">
        <v>143</v>
      </c>
      <c r="D236" s="2" t="s">
        <v>157</v>
      </c>
      <c r="E236" s="2">
        <v>2</v>
      </c>
      <c r="F236" s="2">
        <v>2</v>
      </c>
      <c r="G236" s="2">
        <v>6</v>
      </c>
      <c r="H236" s="2">
        <v>2</v>
      </c>
      <c r="I236" s="3">
        <v>16</v>
      </c>
      <c r="J236" s="3">
        <v>12.7</v>
      </c>
      <c r="K236" s="3">
        <v>19</v>
      </c>
      <c r="L236" s="3">
        <v>39</v>
      </c>
      <c r="M236" s="3">
        <v>6.1757</v>
      </c>
      <c r="N236" s="3">
        <v>24</v>
      </c>
      <c r="O236" s="3">
        <v>67.599999999999994</v>
      </c>
      <c r="P236" s="3">
        <v>79.303303819999996</v>
      </c>
      <c r="Q236" s="3">
        <v>25.64561561</v>
      </c>
      <c r="R236" s="3">
        <v>49.74</v>
      </c>
      <c r="S236" s="3">
        <v>119.3267511</v>
      </c>
      <c r="T236" s="3">
        <v>37.587245179999996</v>
      </c>
      <c r="U236" s="3">
        <v>90.615835777126108</v>
      </c>
      <c r="V236" s="3">
        <v>4</v>
      </c>
      <c r="W236" s="3">
        <v>23.731400000000001</v>
      </c>
      <c r="X236" s="3">
        <v>51.666760570000001</v>
      </c>
      <c r="Y236" s="3"/>
    </row>
    <row r="237" spans="1:25" x14ac:dyDescent="0.3">
      <c r="A237" s="2" t="s">
        <v>279</v>
      </c>
      <c r="B237" s="2" t="s">
        <v>150</v>
      </c>
      <c r="C237" s="2" t="s">
        <v>143</v>
      </c>
      <c r="D237" s="2" t="s">
        <v>157</v>
      </c>
      <c r="E237" s="2">
        <v>2</v>
      </c>
      <c r="F237" s="2">
        <v>2</v>
      </c>
      <c r="G237" s="2">
        <v>6</v>
      </c>
      <c r="H237" s="2">
        <v>3</v>
      </c>
      <c r="I237" s="3">
        <v>22.45</v>
      </c>
      <c r="J237" s="3">
        <v>11.23</v>
      </c>
      <c r="K237" s="3">
        <v>18</v>
      </c>
      <c r="L237" s="3">
        <v>33</v>
      </c>
      <c r="M237" s="3">
        <v>10.407</v>
      </c>
      <c r="N237" s="3">
        <v>43.7</v>
      </c>
      <c r="O237" s="3">
        <v>66.06</v>
      </c>
      <c r="P237" s="3">
        <v>75.820834189999999</v>
      </c>
      <c r="Q237" s="3">
        <v>25.311096379999999</v>
      </c>
      <c r="R237" s="3">
        <v>49.68</v>
      </c>
      <c r="S237" s="3">
        <v>119.36402889999999</v>
      </c>
      <c r="T237" s="3">
        <v>38.094388039999998</v>
      </c>
      <c r="U237" s="3">
        <v>89.23512747875354</v>
      </c>
      <c r="V237" s="3">
        <v>5</v>
      </c>
      <c r="W237" s="3">
        <v>22.672799999999999</v>
      </c>
      <c r="X237" s="3">
        <v>44.554078660000002</v>
      </c>
      <c r="Y237" s="3"/>
    </row>
    <row r="238" spans="1:25" x14ac:dyDescent="0.3">
      <c r="A238" s="2" t="s">
        <v>280</v>
      </c>
      <c r="B238" s="2" t="s">
        <v>150</v>
      </c>
      <c r="C238" s="2" t="s">
        <v>143</v>
      </c>
      <c r="D238" s="2" t="s">
        <v>157</v>
      </c>
      <c r="E238" s="2">
        <v>2</v>
      </c>
      <c r="F238" s="2">
        <v>2</v>
      </c>
      <c r="G238" s="2">
        <v>6</v>
      </c>
      <c r="H238" s="2">
        <v>4</v>
      </c>
      <c r="I238" s="3">
        <v>17.170000000000002</v>
      </c>
      <c r="J238" s="3">
        <v>8.93</v>
      </c>
      <c r="K238" s="3">
        <v>22</v>
      </c>
      <c r="L238" s="3">
        <v>34</v>
      </c>
      <c r="M238" s="3">
        <v>16.068000000000001</v>
      </c>
      <c r="N238" s="3">
        <v>38.4</v>
      </c>
      <c r="O238" s="3">
        <v>61.1</v>
      </c>
      <c r="P238" s="3">
        <v>74.977449440000001</v>
      </c>
      <c r="Q238" s="3">
        <v>23.534292000000001</v>
      </c>
      <c r="R238" s="3">
        <v>50.03</v>
      </c>
      <c r="S238" s="3">
        <v>116.3744751</v>
      </c>
      <c r="T238" s="3">
        <v>36.354193709999997</v>
      </c>
      <c r="U238" s="3">
        <v>90.517241379310349</v>
      </c>
      <c r="V238" s="3">
        <v>4.5</v>
      </c>
      <c r="W238" s="3">
        <v>22.994399999999999</v>
      </c>
      <c r="X238" s="3"/>
      <c r="Y238" s="3"/>
    </row>
    <row r="239" spans="1:25" x14ac:dyDescent="0.3">
      <c r="A239" s="2" t="s">
        <v>281</v>
      </c>
      <c r="B239" s="2" t="s">
        <v>150</v>
      </c>
      <c r="C239" s="2" t="s">
        <v>143</v>
      </c>
      <c r="D239" s="2" t="s">
        <v>157</v>
      </c>
      <c r="E239" s="2">
        <v>2</v>
      </c>
      <c r="F239" s="2">
        <v>2</v>
      </c>
      <c r="G239" s="2">
        <v>6</v>
      </c>
      <c r="H239" s="2">
        <v>5</v>
      </c>
      <c r="I239" s="3">
        <v>16.48</v>
      </c>
      <c r="J239" s="3">
        <v>10.59</v>
      </c>
      <c r="K239" s="3">
        <v>18</v>
      </c>
      <c r="L239" s="3">
        <v>35</v>
      </c>
      <c r="M239" s="3">
        <v>5.7270000000000003</v>
      </c>
      <c r="N239" s="3">
        <v>43.7</v>
      </c>
      <c r="O239" s="3">
        <v>67.75</v>
      </c>
      <c r="P239" s="3">
        <v>77.282306520000006</v>
      </c>
      <c r="Q239" s="3">
        <v>5.2692693989999997</v>
      </c>
      <c r="R239" s="3">
        <v>61.61</v>
      </c>
      <c r="S239" s="3">
        <v>113.23852650000001</v>
      </c>
      <c r="T239" s="3">
        <v>46.785806610000002</v>
      </c>
      <c r="U239" s="3">
        <v>89.542483660130728</v>
      </c>
      <c r="V239" s="3">
        <v>4.5</v>
      </c>
      <c r="W239" s="3"/>
      <c r="X239" s="3"/>
      <c r="Y239" s="3"/>
    </row>
    <row r="240" spans="1:25" x14ac:dyDescent="0.3">
      <c r="A240" s="2" t="s">
        <v>282</v>
      </c>
      <c r="B240" s="2" t="s">
        <v>30</v>
      </c>
      <c r="C240" s="2" t="s">
        <v>31</v>
      </c>
      <c r="D240" s="2" t="s">
        <v>54</v>
      </c>
      <c r="E240" s="2">
        <v>2</v>
      </c>
      <c r="F240" s="2">
        <v>2</v>
      </c>
      <c r="G240" s="2">
        <v>6</v>
      </c>
      <c r="H240" s="2">
        <v>1</v>
      </c>
      <c r="I240" s="3">
        <v>45.81</v>
      </c>
      <c r="J240" s="3">
        <v>13.3</v>
      </c>
      <c r="K240" s="3">
        <v>24</v>
      </c>
      <c r="L240" s="3">
        <v>60</v>
      </c>
      <c r="M240" s="3">
        <v>15.603999999999999</v>
      </c>
      <c r="N240" s="3">
        <v>24.5</v>
      </c>
      <c r="O240" s="3">
        <v>70.44</v>
      </c>
      <c r="P240" s="3">
        <v>65.808857320000001</v>
      </c>
      <c r="Q240" s="3">
        <v>17.05795123</v>
      </c>
      <c r="R240" s="3">
        <v>59.79</v>
      </c>
      <c r="S240" s="3">
        <v>116.44202749999999</v>
      </c>
      <c r="T240" s="3">
        <v>43.835977229999997</v>
      </c>
      <c r="U240" s="3">
        <v>89.999999999999986</v>
      </c>
      <c r="V240" s="3">
        <v>4.5</v>
      </c>
      <c r="W240" s="3">
        <v>16.481999999999999</v>
      </c>
      <c r="X240" s="3">
        <v>49.664636960000003</v>
      </c>
      <c r="Y240" s="3"/>
    </row>
    <row r="241" spans="1:25" x14ac:dyDescent="0.3">
      <c r="A241" s="2" t="s">
        <v>283</v>
      </c>
      <c r="B241" s="2" t="s">
        <v>30</v>
      </c>
      <c r="C241" s="2" t="s">
        <v>31</v>
      </c>
      <c r="D241" s="2" t="s">
        <v>54</v>
      </c>
      <c r="E241" s="2">
        <v>2</v>
      </c>
      <c r="F241" s="2">
        <v>2</v>
      </c>
      <c r="G241" s="2">
        <v>6</v>
      </c>
      <c r="H241" s="2">
        <v>2</v>
      </c>
      <c r="I241" s="3">
        <v>43.4</v>
      </c>
      <c r="J241" s="3">
        <v>14.14</v>
      </c>
      <c r="K241" s="3">
        <v>22</v>
      </c>
      <c r="L241" s="3"/>
      <c r="M241" s="3">
        <v>16.501999999999999</v>
      </c>
      <c r="N241" s="3">
        <v>26.7</v>
      </c>
      <c r="O241" s="3">
        <v>65.7</v>
      </c>
      <c r="P241" s="3">
        <v>56.410431719999998</v>
      </c>
      <c r="Q241" s="3">
        <v>17.370463440000002</v>
      </c>
      <c r="R241" s="3">
        <v>49.31</v>
      </c>
      <c r="S241" s="3">
        <v>122.5314348</v>
      </c>
      <c r="T241" s="3">
        <v>34.847840679999997</v>
      </c>
      <c r="U241" s="3">
        <v>88.716814159292028</v>
      </c>
      <c r="V241" s="3">
        <v>5.5</v>
      </c>
      <c r="W241" s="3">
        <v>13.802</v>
      </c>
      <c r="X241" s="3">
        <v>69.097682070000005</v>
      </c>
      <c r="Y241" s="3"/>
    </row>
    <row r="242" spans="1:25" x14ac:dyDescent="0.3">
      <c r="A242" s="2" t="s">
        <v>284</v>
      </c>
      <c r="B242" s="2" t="s">
        <v>30</v>
      </c>
      <c r="C242" s="2" t="s">
        <v>31</v>
      </c>
      <c r="D242" s="2" t="s">
        <v>54</v>
      </c>
      <c r="E242" s="2">
        <v>2</v>
      </c>
      <c r="F242" s="2">
        <v>2</v>
      </c>
      <c r="G242" s="2">
        <v>6</v>
      </c>
      <c r="H242" s="2">
        <v>3</v>
      </c>
      <c r="I242" s="3">
        <v>41.55</v>
      </c>
      <c r="J242" s="3">
        <v>15.82</v>
      </c>
      <c r="K242" s="3">
        <v>21</v>
      </c>
      <c r="L242" s="3"/>
      <c r="M242" s="3"/>
      <c r="N242" s="3">
        <v>40.700000000000003</v>
      </c>
      <c r="O242" s="3">
        <v>66.790000000000006</v>
      </c>
      <c r="P242" s="3">
        <v>60.692371850000001</v>
      </c>
      <c r="Q242" s="3">
        <v>17.385214980000001</v>
      </c>
      <c r="R242" s="3">
        <v>48.48</v>
      </c>
      <c r="S242" s="3">
        <v>123.468845</v>
      </c>
      <c r="T242" s="3">
        <v>34.524796889999998</v>
      </c>
      <c r="U242" s="3">
        <v>89.65517241379311</v>
      </c>
      <c r="V242" s="3">
        <v>6</v>
      </c>
      <c r="W242" s="3">
        <v>13.6546</v>
      </c>
      <c r="X242" s="3"/>
      <c r="Y242" s="3"/>
    </row>
    <row r="243" spans="1:25" x14ac:dyDescent="0.3">
      <c r="A243" s="2" t="s">
        <v>285</v>
      </c>
      <c r="B243" s="2" t="s">
        <v>30</v>
      </c>
      <c r="C243" s="2" t="s">
        <v>31</v>
      </c>
      <c r="D243" s="2" t="s">
        <v>54</v>
      </c>
      <c r="E243" s="2">
        <v>2</v>
      </c>
      <c r="F243" s="2">
        <v>2</v>
      </c>
      <c r="G243" s="2">
        <v>6</v>
      </c>
      <c r="H243" s="2">
        <v>4</v>
      </c>
      <c r="I243" s="3">
        <v>40.6</v>
      </c>
      <c r="J243" s="3">
        <v>16.3</v>
      </c>
      <c r="K243" s="3">
        <v>21</v>
      </c>
      <c r="L243" s="3">
        <v>60</v>
      </c>
      <c r="M243" s="3"/>
      <c r="N243" s="3">
        <v>31.5</v>
      </c>
      <c r="O243" s="3">
        <v>73.41</v>
      </c>
      <c r="P243" s="3">
        <v>110.788894</v>
      </c>
      <c r="Q243" s="3">
        <v>16.397600430000001</v>
      </c>
      <c r="R243" s="3">
        <v>55.28</v>
      </c>
      <c r="S243" s="3">
        <v>115.74514449999999</v>
      </c>
      <c r="T243" s="3">
        <v>37.203033480000002</v>
      </c>
      <c r="U243" s="3">
        <v>87.33031674208145</v>
      </c>
      <c r="V243" s="3">
        <v>6</v>
      </c>
      <c r="W243" s="3">
        <v>34.7864</v>
      </c>
      <c r="X243" s="3">
        <v>65.221788439999997</v>
      </c>
      <c r="Y243" s="3"/>
    </row>
    <row r="244" spans="1:25" x14ac:dyDescent="0.3">
      <c r="A244" s="2" t="s">
        <v>286</v>
      </c>
      <c r="B244" s="2" t="s">
        <v>30</v>
      </c>
      <c r="C244" s="2" t="s">
        <v>31</v>
      </c>
      <c r="D244" s="2" t="s">
        <v>54</v>
      </c>
      <c r="E244" s="2">
        <v>2</v>
      </c>
      <c r="F244" s="2">
        <v>2</v>
      </c>
      <c r="G244" s="2">
        <v>6</v>
      </c>
      <c r="H244" s="2">
        <v>5</v>
      </c>
      <c r="I244" s="3">
        <v>54.22</v>
      </c>
      <c r="J244" s="3">
        <v>15.45</v>
      </c>
      <c r="K244" s="3">
        <v>20</v>
      </c>
      <c r="L244" s="3">
        <v>59</v>
      </c>
      <c r="M244" s="3">
        <v>14.009</v>
      </c>
      <c r="N244" s="3">
        <v>32.4</v>
      </c>
      <c r="O244" s="3">
        <v>81.28</v>
      </c>
      <c r="P244" s="3">
        <v>100.9778491</v>
      </c>
      <c r="Q244" s="3">
        <v>18</v>
      </c>
      <c r="R244" s="3">
        <v>62.05</v>
      </c>
      <c r="S244" s="3">
        <v>115.0599186</v>
      </c>
      <c r="T244" s="3">
        <v>47.170470639999998</v>
      </c>
      <c r="U244" s="3">
        <v>89.10891089108911</v>
      </c>
      <c r="V244" s="3">
        <v>4.5</v>
      </c>
      <c r="W244" s="3">
        <v>21.694600000000001</v>
      </c>
      <c r="X244" s="3">
        <v>53.983445740000001</v>
      </c>
      <c r="Y244" s="3"/>
    </row>
    <row r="245" spans="1:25" x14ac:dyDescent="0.3">
      <c r="A245" s="2" t="s">
        <v>287</v>
      </c>
      <c r="B245" s="2" t="s">
        <v>30</v>
      </c>
      <c r="C245" s="2" t="s">
        <v>31</v>
      </c>
      <c r="D245" s="2" t="s">
        <v>61</v>
      </c>
      <c r="E245" s="2">
        <v>2</v>
      </c>
      <c r="F245" s="2">
        <v>2</v>
      </c>
      <c r="G245" s="2">
        <v>6</v>
      </c>
      <c r="H245" s="2">
        <v>1</v>
      </c>
      <c r="I245" s="3">
        <v>54</v>
      </c>
      <c r="J245" s="3">
        <v>16.690000000000001</v>
      </c>
      <c r="K245" s="3">
        <v>23</v>
      </c>
      <c r="L245" s="3">
        <v>58</v>
      </c>
      <c r="M245" s="3">
        <v>9.8247999999999998</v>
      </c>
      <c r="N245" s="3">
        <v>41.1</v>
      </c>
      <c r="O245" s="3">
        <v>79.77</v>
      </c>
      <c r="P245" s="3">
        <v>96.632288650000007</v>
      </c>
      <c r="Q245" s="3">
        <v>12.98691649</v>
      </c>
      <c r="R245" s="3">
        <v>49.81</v>
      </c>
      <c r="S245" s="3">
        <v>122.61840719999999</v>
      </c>
      <c r="T245" s="3">
        <v>35.15472372</v>
      </c>
      <c r="U245" s="3">
        <v>76.875</v>
      </c>
      <c r="V245" s="3">
        <v>6</v>
      </c>
      <c r="W245" s="3">
        <v>21.105</v>
      </c>
      <c r="X245" s="3">
        <v>47.719188180000003</v>
      </c>
      <c r="Y245" s="3"/>
    </row>
    <row r="246" spans="1:25" x14ac:dyDescent="0.3">
      <c r="A246" s="2" t="s">
        <v>288</v>
      </c>
      <c r="B246" s="2" t="s">
        <v>30</v>
      </c>
      <c r="C246" s="2" t="s">
        <v>31</v>
      </c>
      <c r="D246" s="2" t="s">
        <v>61</v>
      </c>
      <c r="E246" s="2">
        <v>2</v>
      </c>
      <c r="F246" s="2">
        <v>2</v>
      </c>
      <c r="G246" s="2">
        <v>6</v>
      </c>
      <c r="H246" s="2">
        <v>2</v>
      </c>
      <c r="I246" s="3">
        <v>45.59</v>
      </c>
      <c r="J246" s="3"/>
      <c r="K246" s="3">
        <v>25</v>
      </c>
      <c r="L246" s="3">
        <v>55</v>
      </c>
      <c r="M246" s="3">
        <v>12.391</v>
      </c>
      <c r="N246" s="3">
        <v>37.9</v>
      </c>
      <c r="O246" s="3">
        <v>76.650000000000006</v>
      </c>
      <c r="P246" s="3">
        <v>113.49985220000001</v>
      </c>
      <c r="Q246" s="3">
        <v>14.720968040000001</v>
      </c>
      <c r="R246" s="3">
        <v>52.72</v>
      </c>
      <c r="S246" s="3">
        <v>120.4220608</v>
      </c>
      <c r="T246" s="3">
        <v>41.017432880000001</v>
      </c>
      <c r="U246" s="3">
        <v>89.939637826961771</v>
      </c>
      <c r="V246" s="3">
        <v>5.5</v>
      </c>
      <c r="W246" s="3">
        <v>14.3916</v>
      </c>
      <c r="X246" s="3">
        <v>64.467271600000004</v>
      </c>
      <c r="Y246" s="3"/>
    </row>
    <row r="247" spans="1:25" x14ac:dyDescent="0.3">
      <c r="A247" s="2" t="s">
        <v>289</v>
      </c>
      <c r="B247" s="2" t="s">
        <v>30</v>
      </c>
      <c r="C247" s="2" t="s">
        <v>31</v>
      </c>
      <c r="D247" s="2" t="s">
        <v>61</v>
      </c>
      <c r="E247" s="2">
        <v>2</v>
      </c>
      <c r="F247" s="2">
        <v>2</v>
      </c>
      <c r="G247" s="2">
        <v>6</v>
      </c>
      <c r="H247" s="2">
        <v>3</v>
      </c>
      <c r="I247" s="3">
        <v>54.66</v>
      </c>
      <c r="J247" s="3">
        <v>17.16</v>
      </c>
      <c r="K247" s="3">
        <v>24</v>
      </c>
      <c r="L247" s="3">
        <v>50</v>
      </c>
      <c r="M247" s="3">
        <v>15.798</v>
      </c>
      <c r="N247" s="3">
        <v>44.3</v>
      </c>
      <c r="O247" s="3">
        <v>77.84</v>
      </c>
      <c r="P247" s="3">
        <v>93.005051870000003</v>
      </c>
      <c r="Q247" s="3">
        <v>16.022034829999999</v>
      </c>
      <c r="R247" s="3">
        <v>48.66</v>
      </c>
      <c r="S247" s="3">
        <v>123.7187325</v>
      </c>
      <c r="T247" s="3">
        <v>32.929781349999999</v>
      </c>
      <c r="U247" s="3">
        <v>86.749482401656323</v>
      </c>
      <c r="V247" s="3">
        <v>6</v>
      </c>
      <c r="W247" s="3">
        <v>19.550599999999999</v>
      </c>
      <c r="X247" s="3"/>
      <c r="Y247" s="3"/>
    </row>
    <row r="248" spans="1:25" x14ac:dyDescent="0.3">
      <c r="A248" s="2" t="s">
        <v>290</v>
      </c>
      <c r="B248" s="2" t="s">
        <v>30</v>
      </c>
      <c r="C248" s="2" t="s">
        <v>31</v>
      </c>
      <c r="D248" s="2" t="s">
        <v>61</v>
      </c>
      <c r="E248" s="2">
        <v>2</v>
      </c>
      <c r="F248" s="2">
        <v>2</v>
      </c>
      <c r="G248" s="2">
        <v>6</v>
      </c>
      <c r="H248" s="2">
        <v>4</v>
      </c>
      <c r="I248" s="3">
        <v>42.77</v>
      </c>
      <c r="J248" s="3">
        <v>18.27</v>
      </c>
      <c r="K248" s="3">
        <v>22</v>
      </c>
      <c r="L248" s="3">
        <v>46</v>
      </c>
      <c r="M248" s="3">
        <v>14.048</v>
      </c>
      <c r="N248" s="3">
        <v>41.8</v>
      </c>
      <c r="O248" s="3">
        <v>71.98</v>
      </c>
      <c r="P248" s="3">
        <v>84.385080079999994</v>
      </c>
      <c r="Q248" s="3">
        <v>19.62415094</v>
      </c>
      <c r="R248" s="3">
        <v>61.31</v>
      </c>
      <c r="S248" s="3">
        <v>117.0882111</v>
      </c>
      <c r="T248" s="3">
        <v>46.995165710000002</v>
      </c>
      <c r="U248" s="3">
        <v>88.123515439429937</v>
      </c>
      <c r="V248" s="3">
        <v>5.5</v>
      </c>
      <c r="W248" s="3">
        <v>19.912400000000009</v>
      </c>
      <c r="X248" s="3">
        <v>61.786803769999999</v>
      </c>
      <c r="Y248" s="3"/>
    </row>
    <row r="249" spans="1:25" x14ac:dyDescent="0.3">
      <c r="A249" s="2" t="s">
        <v>291</v>
      </c>
      <c r="B249" s="2" t="s">
        <v>30</v>
      </c>
      <c r="C249" s="2" t="s">
        <v>31</v>
      </c>
      <c r="D249" s="2" t="s">
        <v>61</v>
      </c>
      <c r="E249" s="2">
        <v>2</v>
      </c>
      <c r="F249" s="2">
        <v>2</v>
      </c>
      <c r="G249" s="2">
        <v>6</v>
      </c>
      <c r="H249" s="2">
        <v>5</v>
      </c>
      <c r="I249" s="3">
        <v>53.45</v>
      </c>
      <c r="J249" s="3">
        <v>16.09</v>
      </c>
      <c r="K249" s="3">
        <v>22</v>
      </c>
      <c r="L249" s="3">
        <v>43</v>
      </c>
      <c r="M249" s="3">
        <v>5.5065999999999997</v>
      </c>
      <c r="N249" s="3">
        <v>40</v>
      </c>
      <c r="O249" s="3">
        <v>76.459999999999994</v>
      </c>
      <c r="P249" s="3">
        <v>112.14538210000001</v>
      </c>
      <c r="Q249" s="3">
        <v>13.29045522</v>
      </c>
      <c r="R249" s="3">
        <v>53.7</v>
      </c>
      <c r="S249" s="3">
        <v>120.41600390000001</v>
      </c>
      <c r="T249" s="3">
        <v>41.281593960000002</v>
      </c>
      <c r="U249" s="3">
        <v>89.612756264236907</v>
      </c>
      <c r="V249" s="3">
        <v>6</v>
      </c>
      <c r="W249" s="3">
        <v>13.7484</v>
      </c>
      <c r="X249" s="3">
        <v>56.496642190000003</v>
      </c>
      <c r="Y249" s="3"/>
    </row>
    <row r="250" spans="1:25" x14ac:dyDescent="0.3">
      <c r="A250" s="2" t="s">
        <v>292</v>
      </c>
      <c r="B250" s="2" t="s">
        <v>150</v>
      </c>
      <c r="C250" s="2" t="s">
        <v>143</v>
      </c>
      <c r="D250" s="2" t="s">
        <v>151</v>
      </c>
      <c r="E250" s="2">
        <v>2</v>
      </c>
      <c r="F250" s="2">
        <v>2</v>
      </c>
      <c r="G250" s="2">
        <v>6</v>
      </c>
      <c r="H250" s="2">
        <v>1</v>
      </c>
      <c r="I250" s="3">
        <v>26.23</v>
      </c>
      <c r="J250" s="3">
        <v>13.64</v>
      </c>
      <c r="K250" s="3">
        <v>17</v>
      </c>
      <c r="L250" s="3">
        <v>45</v>
      </c>
      <c r="M250" s="3">
        <v>8.1241000000000003</v>
      </c>
      <c r="N250" s="3">
        <v>42.2</v>
      </c>
      <c r="O250" s="3">
        <v>64.03</v>
      </c>
      <c r="P250" s="3">
        <v>100.9386353</v>
      </c>
      <c r="Q250" s="3"/>
      <c r="R250" s="3">
        <v>48.45</v>
      </c>
      <c r="S250" s="3">
        <v>123.2355307</v>
      </c>
      <c r="T250" s="3">
        <v>32.184716870000003</v>
      </c>
      <c r="U250" s="3">
        <v>83.99</v>
      </c>
      <c r="V250" s="3">
        <v>5</v>
      </c>
      <c r="W250" s="3">
        <v>10.344799999999999</v>
      </c>
      <c r="X250" s="3">
        <v>58.072950769999998</v>
      </c>
      <c r="Y250" s="3"/>
    </row>
    <row r="251" spans="1:25" x14ac:dyDescent="0.3">
      <c r="A251" s="2" t="s">
        <v>293</v>
      </c>
      <c r="B251" s="2" t="s">
        <v>150</v>
      </c>
      <c r="C251" s="2" t="s">
        <v>143</v>
      </c>
      <c r="D251" s="2" t="s">
        <v>151</v>
      </c>
      <c r="E251" s="2">
        <v>2</v>
      </c>
      <c r="F251" s="2">
        <v>2</v>
      </c>
      <c r="G251" s="2">
        <v>6</v>
      </c>
      <c r="H251" s="2">
        <v>2</v>
      </c>
      <c r="I251" s="3">
        <v>30.7</v>
      </c>
      <c r="J251" s="3">
        <v>12.81</v>
      </c>
      <c r="K251" s="3">
        <v>22</v>
      </c>
      <c r="L251" s="3">
        <v>50</v>
      </c>
      <c r="M251" s="3">
        <v>16.202999999999999</v>
      </c>
      <c r="N251" s="3">
        <v>35.4</v>
      </c>
      <c r="O251" s="3">
        <v>75.69</v>
      </c>
      <c r="P251" s="3">
        <v>102.8889132</v>
      </c>
      <c r="Q251" s="3">
        <v>14.65936561</v>
      </c>
      <c r="R251" s="3">
        <v>49.99</v>
      </c>
      <c r="S251" s="3">
        <v>118.9168938</v>
      </c>
      <c r="T251" s="3">
        <v>32.799446639999999</v>
      </c>
      <c r="U251" s="3">
        <v>84.2</v>
      </c>
      <c r="V251" s="3">
        <v>4.5</v>
      </c>
      <c r="W251" s="3">
        <v>11.4369</v>
      </c>
      <c r="X251" s="3">
        <v>61.915005149999999</v>
      </c>
      <c r="Y251" s="3"/>
    </row>
    <row r="252" spans="1:25" x14ac:dyDescent="0.3">
      <c r="A252" s="2" t="s">
        <v>294</v>
      </c>
      <c r="B252" s="2" t="s">
        <v>150</v>
      </c>
      <c r="C252" s="2" t="s">
        <v>143</v>
      </c>
      <c r="D252" s="2" t="s">
        <v>169</v>
      </c>
      <c r="E252" s="2">
        <v>2</v>
      </c>
      <c r="F252" s="2">
        <v>1</v>
      </c>
      <c r="G252" s="2">
        <v>2</v>
      </c>
      <c r="H252" s="2">
        <v>1</v>
      </c>
      <c r="I252" s="3">
        <v>22.7</v>
      </c>
      <c r="J252" s="3">
        <v>18</v>
      </c>
      <c r="K252" s="3">
        <v>19</v>
      </c>
      <c r="L252" s="3">
        <v>29</v>
      </c>
      <c r="M252" s="3">
        <v>10.65</v>
      </c>
      <c r="N252" s="3">
        <v>49.1</v>
      </c>
      <c r="O252" s="3">
        <v>66.39</v>
      </c>
      <c r="P252" s="3">
        <v>102.01795</v>
      </c>
      <c r="Q252" s="3">
        <v>17.769479449999999</v>
      </c>
      <c r="R252" s="3">
        <v>44.97</v>
      </c>
      <c r="S252" s="3">
        <v>125.3781213</v>
      </c>
      <c r="T252" s="3">
        <v>25.510642879999999</v>
      </c>
      <c r="U252" s="3">
        <v>87.56</v>
      </c>
      <c r="V252" s="3">
        <v>4.5</v>
      </c>
      <c r="W252" s="3">
        <v>15.141999999999999</v>
      </c>
      <c r="X252" s="3">
        <v>76.918531900000005</v>
      </c>
      <c r="Y252" s="3"/>
    </row>
    <row r="253" spans="1:25" x14ac:dyDescent="0.3">
      <c r="A253" s="2" t="s">
        <v>295</v>
      </c>
      <c r="B253" s="2" t="s">
        <v>150</v>
      </c>
      <c r="C253" s="2" t="s">
        <v>143</v>
      </c>
      <c r="D253" s="2" t="s">
        <v>151</v>
      </c>
      <c r="E253" s="2">
        <v>2</v>
      </c>
      <c r="F253" s="2">
        <v>2</v>
      </c>
      <c r="G253" s="2">
        <v>6</v>
      </c>
      <c r="H253" s="2">
        <v>3</v>
      </c>
      <c r="I253" s="3">
        <v>29.28</v>
      </c>
      <c r="J253" s="3">
        <v>11.98</v>
      </c>
      <c r="K253" s="3">
        <v>18</v>
      </c>
      <c r="L253" s="3">
        <v>40</v>
      </c>
      <c r="M253" s="3">
        <v>12.082000000000001</v>
      </c>
      <c r="N253" s="3">
        <v>41.5</v>
      </c>
      <c r="O253" s="3">
        <v>74.790000000000006</v>
      </c>
      <c r="P253" s="3">
        <v>108.8443609</v>
      </c>
      <c r="Q253" s="3">
        <v>15.47974483</v>
      </c>
      <c r="R253" s="3">
        <v>45.73</v>
      </c>
      <c r="S253" s="3">
        <v>126.1320759</v>
      </c>
      <c r="T253" s="3">
        <v>26.880226929999999</v>
      </c>
      <c r="U253" s="3">
        <v>84.254999999999995</v>
      </c>
      <c r="V253" s="3">
        <v>4.5</v>
      </c>
      <c r="W253" s="3">
        <v>10.9076</v>
      </c>
      <c r="X253" s="3">
        <v>57.894418870000003</v>
      </c>
      <c r="Y253" s="3"/>
    </row>
    <row r="254" spans="1:25" x14ac:dyDescent="0.3">
      <c r="A254" s="2" t="s">
        <v>296</v>
      </c>
      <c r="B254" s="2" t="s">
        <v>150</v>
      </c>
      <c r="C254" s="2" t="s">
        <v>143</v>
      </c>
      <c r="D254" s="2" t="s">
        <v>151</v>
      </c>
      <c r="E254" s="2">
        <v>2</v>
      </c>
      <c r="F254" s="2">
        <v>2</v>
      </c>
      <c r="G254" s="2">
        <v>6</v>
      </c>
      <c r="H254" s="2">
        <v>4</v>
      </c>
      <c r="I254" s="3">
        <v>33.18</v>
      </c>
      <c r="J254" s="3">
        <v>13.61</v>
      </c>
      <c r="K254" s="3">
        <v>15</v>
      </c>
      <c r="L254" s="3">
        <v>49</v>
      </c>
      <c r="M254" s="3">
        <v>11.2544</v>
      </c>
      <c r="N254" s="3">
        <v>39.9</v>
      </c>
      <c r="O254" s="3">
        <v>66.989999999999995</v>
      </c>
      <c r="P254" s="3">
        <v>91.727562070000005</v>
      </c>
      <c r="Q254" s="3"/>
      <c r="R254" s="3">
        <v>49.45</v>
      </c>
      <c r="S254" s="3">
        <v>121.2801693</v>
      </c>
      <c r="T254" s="3">
        <v>36.612077239999998</v>
      </c>
      <c r="U254" s="3">
        <v>87.56</v>
      </c>
      <c r="V254" s="3">
        <v>4</v>
      </c>
      <c r="W254" s="3">
        <v>17.982800000000001</v>
      </c>
      <c r="X254" s="3">
        <v>60.766492560000003</v>
      </c>
      <c r="Y254" s="3"/>
    </row>
    <row r="255" spans="1:25" x14ac:dyDescent="0.3">
      <c r="A255" s="2" t="s">
        <v>297</v>
      </c>
      <c r="B255" s="2" t="s">
        <v>150</v>
      </c>
      <c r="C255" s="2" t="s">
        <v>143</v>
      </c>
      <c r="D255" s="2" t="s">
        <v>151</v>
      </c>
      <c r="E255" s="2">
        <v>2</v>
      </c>
      <c r="F255" s="2">
        <v>2</v>
      </c>
      <c r="G255" s="2">
        <v>6</v>
      </c>
      <c r="H255" s="2">
        <v>5</v>
      </c>
      <c r="I255" s="3">
        <v>27.73</v>
      </c>
      <c r="J255" s="3">
        <v>12.93</v>
      </c>
      <c r="K255" s="3">
        <v>18</v>
      </c>
      <c r="L255" s="3">
        <v>46</v>
      </c>
      <c r="M255" s="3">
        <v>11.102</v>
      </c>
      <c r="N255" s="3">
        <v>41.5</v>
      </c>
      <c r="O255" s="3">
        <v>67.400000000000006</v>
      </c>
      <c r="P255" s="3">
        <v>97.775358900000001</v>
      </c>
      <c r="Q255" s="3">
        <v>14.856597860000001</v>
      </c>
      <c r="R255" s="3">
        <v>54.74</v>
      </c>
      <c r="S255" s="3">
        <v>118.36437479999999</v>
      </c>
      <c r="T255" s="3">
        <v>41.298183979999997</v>
      </c>
      <c r="U255" s="3">
        <v>87.332788418708233</v>
      </c>
      <c r="V255" s="3">
        <v>3.5</v>
      </c>
      <c r="W255" s="3">
        <v>16.066600000000001</v>
      </c>
      <c r="X255" s="3">
        <v>60.781853519999999</v>
      </c>
      <c r="Y255" s="3"/>
    </row>
    <row r="256" spans="1:25" x14ac:dyDescent="0.3">
      <c r="A256" s="2" t="s">
        <v>298</v>
      </c>
      <c r="B256" s="2" t="s">
        <v>150</v>
      </c>
      <c r="C256" s="2" t="s">
        <v>143</v>
      </c>
      <c r="D256" s="2" t="s">
        <v>169</v>
      </c>
      <c r="E256" s="2">
        <v>2</v>
      </c>
      <c r="F256" s="2">
        <v>3</v>
      </c>
      <c r="G256" s="2">
        <v>10</v>
      </c>
      <c r="H256" s="2">
        <v>1</v>
      </c>
      <c r="I256" s="3">
        <v>33.369999999999997</v>
      </c>
      <c r="J256" s="3">
        <v>14.19</v>
      </c>
      <c r="K256" s="3">
        <v>23</v>
      </c>
      <c r="L256" s="3">
        <v>45</v>
      </c>
      <c r="M256" s="3">
        <v>20.855</v>
      </c>
      <c r="N256" s="3">
        <v>24.5</v>
      </c>
      <c r="O256" s="3">
        <v>64.3</v>
      </c>
      <c r="P256" s="3">
        <v>77.357833709999994</v>
      </c>
      <c r="Q256" s="3">
        <v>31.298787520000001</v>
      </c>
      <c r="R256" s="3">
        <v>54.32</v>
      </c>
      <c r="S256" s="3">
        <v>115.44893930000001</v>
      </c>
      <c r="T256" s="3">
        <v>29.624574259999999</v>
      </c>
      <c r="U256" s="3">
        <v>44.337349397590373</v>
      </c>
      <c r="V256" s="3">
        <v>3.5</v>
      </c>
      <c r="W256" s="3">
        <v>16.093399999999999</v>
      </c>
      <c r="X256" s="3">
        <v>52.576773209999999</v>
      </c>
      <c r="Y256" s="3"/>
    </row>
    <row r="257" spans="1:25" x14ac:dyDescent="0.3">
      <c r="A257" s="2" t="s">
        <v>299</v>
      </c>
      <c r="B257" s="2" t="s">
        <v>150</v>
      </c>
      <c r="C257" s="2" t="s">
        <v>143</v>
      </c>
      <c r="D257" s="2" t="s">
        <v>169</v>
      </c>
      <c r="E257" s="2">
        <v>2</v>
      </c>
      <c r="F257" s="2">
        <v>1</v>
      </c>
      <c r="G257" s="2">
        <v>2</v>
      </c>
      <c r="H257" s="2">
        <v>2</v>
      </c>
      <c r="I257" s="3">
        <v>30.16</v>
      </c>
      <c r="J257" s="3">
        <v>16.72</v>
      </c>
      <c r="K257" s="3">
        <v>22</v>
      </c>
      <c r="L257" s="3">
        <v>35</v>
      </c>
      <c r="M257" s="3">
        <v>13.109</v>
      </c>
      <c r="N257" s="3">
        <v>45.1</v>
      </c>
      <c r="O257" s="3">
        <v>61.59</v>
      </c>
      <c r="P257" s="3">
        <v>99.677312389999997</v>
      </c>
      <c r="Q257" s="3">
        <v>18.381580450000001</v>
      </c>
      <c r="R257" s="3">
        <v>49.41</v>
      </c>
      <c r="S257" s="3">
        <v>119.659656</v>
      </c>
      <c r="T257" s="3">
        <v>25.098456129999999</v>
      </c>
      <c r="U257" s="3">
        <v>88.11</v>
      </c>
      <c r="V257" s="3">
        <v>4.5</v>
      </c>
      <c r="W257" s="3">
        <v>15.8254</v>
      </c>
      <c r="X257" s="3">
        <v>94.182401920000004</v>
      </c>
      <c r="Y257" s="3"/>
    </row>
    <row r="258" spans="1:25" x14ac:dyDescent="0.3">
      <c r="A258" s="2" t="s">
        <v>300</v>
      </c>
      <c r="B258" s="2" t="s">
        <v>150</v>
      </c>
      <c r="C258" s="2" t="s">
        <v>143</v>
      </c>
      <c r="D258" s="2" t="s">
        <v>169</v>
      </c>
      <c r="E258" s="2">
        <v>2</v>
      </c>
      <c r="F258" s="2">
        <v>3</v>
      </c>
      <c r="G258" s="2">
        <v>10</v>
      </c>
      <c r="H258" s="2">
        <v>2</v>
      </c>
      <c r="I258" s="3">
        <v>25.86</v>
      </c>
      <c r="J258" s="3">
        <v>13.34</v>
      </c>
      <c r="K258" s="3">
        <v>22</v>
      </c>
      <c r="L258" s="3">
        <v>41</v>
      </c>
      <c r="M258" s="3">
        <v>16.459</v>
      </c>
      <c r="N258" s="3">
        <v>29.1</v>
      </c>
      <c r="O258" s="3">
        <v>64.709999999999994</v>
      </c>
      <c r="P258" s="3">
        <v>103.50867049999999</v>
      </c>
      <c r="Q258" s="3">
        <v>20.291389800000001</v>
      </c>
      <c r="R258" s="3">
        <v>54.96</v>
      </c>
      <c r="S258" s="3">
        <v>120.0252433</v>
      </c>
      <c r="T258" s="3">
        <v>36.971476840000001</v>
      </c>
      <c r="U258" s="3">
        <v>48.464912280701753</v>
      </c>
      <c r="V258" s="3">
        <v>3</v>
      </c>
      <c r="W258" s="3">
        <v>19.724799999999998</v>
      </c>
      <c r="X258" s="3">
        <v>78.188228670000001</v>
      </c>
      <c r="Y258" s="3"/>
    </row>
    <row r="259" spans="1:25" x14ac:dyDescent="0.3">
      <c r="A259" s="2" t="s">
        <v>301</v>
      </c>
      <c r="B259" s="2" t="s">
        <v>150</v>
      </c>
      <c r="C259" s="2" t="s">
        <v>143</v>
      </c>
      <c r="D259" s="2" t="s">
        <v>169</v>
      </c>
      <c r="E259" s="2">
        <v>2</v>
      </c>
      <c r="F259" s="2">
        <v>3</v>
      </c>
      <c r="G259" s="2">
        <v>10</v>
      </c>
      <c r="H259" s="2">
        <v>3</v>
      </c>
      <c r="I259" s="3">
        <v>31.21</v>
      </c>
      <c r="J259" s="3">
        <v>11.38</v>
      </c>
      <c r="K259" s="3">
        <v>20</v>
      </c>
      <c r="L259" s="3">
        <v>43</v>
      </c>
      <c r="M259" s="3">
        <v>12.776</v>
      </c>
      <c r="N259" s="3">
        <v>39.9</v>
      </c>
      <c r="O259" s="3">
        <v>63.27</v>
      </c>
      <c r="P259" s="3">
        <v>102.1290731</v>
      </c>
      <c r="Q259" s="3">
        <v>10.422677200000001</v>
      </c>
      <c r="R259" s="3">
        <v>49.51</v>
      </c>
      <c r="S259" s="3">
        <v>123.0452295</v>
      </c>
      <c r="T259" s="3">
        <v>31.065176650000002</v>
      </c>
      <c r="U259" s="3">
        <v>45.511482254697292</v>
      </c>
      <c r="V259" s="3">
        <v>2.5</v>
      </c>
      <c r="W259" s="3">
        <v>21.145199999999999</v>
      </c>
      <c r="X259" s="3">
        <v>53.465929770000002</v>
      </c>
      <c r="Y259" s="3"/>
    </row>
    <row r="260" spans="1:25" x14ac:dyDescent="0.3">
      <c r="A260" s="2" t="s">
        <v>302</v>
      </c>
      <c r="B260" s="2" t="s">
        <v>150</v>
      </c>
      <c r="C260" s="2" t="s">
        <v>143</v>
      </c>
      <c r="D260" s="2" t="s">
        <v>169</v>
      </c>
      <c r="E260" s="2">
        <v>2</v>
      </c>
      <c r="F260" s="2">
        <v>3</v>
      </c>
      <c r="G260" s="2">
        <v>10</v>
      </c>
      <c r="H260" s="2">
        <v>4</v>
      </c>
      <c r="I260" s="3">
        <v>31.55</v>
      </c>
      <c r="J260" s="3">
        <v>11.22</v>
      </c>
      <c r="K260" s="3">
        <v>24</v>
      </c>
      <c r="L260" s="3">
        <v>39</v>
      </c>
      <c r="M260" s="3">
        <v>12.250999999999999</v>
      </c>
      <c r="N260" s="3">
        <v>38.6</v>
      </c>
      <c r="O260" s="3">
        <v>63.98</v>
      </c>
      <c r="P260" s="3">
        <v>107.54796279999999</v>
      </c>
      <c r="Q260" s="3">
        <v>17.777291689999998</v>
      </c>
      <c r="R260" s="3">
        <v>54.34</v>
      </c>
      <c r="S260" s="3">
        <v>118.9484939</v>
      </c>
      <c r="T260" s="3">
        <v>38.386254049999998</v>
      </c>
      <c r="U260" s="3">
        <v>56.95652173913043</v>
      </c>
      <c r="V260" s="3">
        <v>4</v>
      </c>
      <c r="W260" s="3">
        <v>21.708000000000009</v>
      </c>
      <c r="X260" s="3">
        <v>48.384232939999997</v>
      </c>
      <c r="Y260" s="3"/>
    </row>
    <row r="261" spans="1:25" x14ac:dyDescent="0.3">
      <c r="A261" s="2" t="s">
        <v>303</v>
      </c>
      <c r="B261" s="2" t="s">
        <v>150</v>
      </c>
      <c r="C261" s="2" t="s">
        <v>143</v>
      </c>
      <c r="D261" s="2" t="s">
        <v>169</v>
      </c>
      <c r="E261" s="2">
        <v>2</v>
      </c>
      <c r="F261" s="2">
        <v>3</v>
      </c>
      <c r="G261" s="2">
        <v>10</v>
      </c>
      <c r="H261" s="2">
        <v>5</v>
      </c>
      <c r="I261" s="3">
        <v>32.14</v>
      </c>
      <c r="J261" s="3">
        <v>11.39</v>
      </c>
      <c r="K261" s="3">
        <v>23</v>
      </c>
      <c r="L261" s="3">
        <v>46</v>
      </c>
      <c r="M261" s="3">
        <v>26.395</v>
      </c>
      <c r="N261" s="3">
        <v>36.700000000000003</v>
      </c>
      <c r="O261" s="3">
        <v>66.09</v>
      </c>
      <c r="P261" s="3">
        <v>86.240433120000006</v>
      </c>
      <c r="Q261" s="3">
        <v>25.775463139999999</v>
      </c>
      <c r="R261" s="3">
        <v>50</v>
      </c>
      <c r="S261" s="3">
        <v>121.78155820000001</v>
      </c>
      <c r="T261" s="3">
        <v>34.232892079999999</v>
      </c>
      <c r="U261" s="3">
        <v>57.203389830508463</v>
      </c>
      <c r="V261" s="3">
        <v>3</v>
      </c>
      <c r="W261" s="3">
        <v>21.9358</v>
      </c>
      <c r="X261" s="3">
        <v>25.68579626</v>
      </c>
      <c r="Y261" s="3"/>
    </row>
    <row r="262" spans="1:25" x14ac:dyDescent="0.3">
      <c r="A262" s="2" t="s">
        <v>304</v>
      </c>
      <c r="B262" s="2" t="s">
        <v>150</v>
      </c>
      <c r="C262" s="2" t="s">
        <v>143</v>
      </c>
      <c r="D262" s="2" t="s">
        <v>157</v>
      </c>
      <c r="E262" s="2">
        <v>2</v>
      </c>
      <c r="F262" s="2">
        <v>3</v>
      </c>
      <c r="G262" s="2">
        <v>10</v>
      </c>
      <c r="H262" s="2">
        <v>1</v>
      </c>
      <c r="I262" s="3">
        <v>22.87</v>
      </c>
      <c r="J262" s="3">
        <v>11.59</v>
      </c>
      <c r="K262" s="3">
        <v>18</v>
      </c>
      <c r="L262" s="3">
        <v>29</v>
      </c>
      <c r="M262" s="3">
        <v>19.885000000000002</v>
      </c>
      <c r="N262" s="3">
        <v>33</v>
      </c>
      <c r="O262" s="3">
        <v>65.66</v>
      </c>
      <c r="P262" s="3">
        <v>95.106846419999997</v>
      </c>
      <c r="Q262" s="3">
        <v>20.782504660000001</v>
      </c>
      <c r="R262" s="3">
        <v>52.56</v>
      </c>
      <c r="S262" s="3">
        <v>117.0705457</v>
      </c>
      <c r="T262" s="3">
        <v>35.97079093</v>
      </c>
      <c r="U262" s="3">
        <v>55.511482254697299</v>
      </c>
      <c r="V262" s="3">
        <v>3</v>
      </c>
      <c r="W262" s="3">
        <v>16.796900000000001</v>
      </c>
      <c r="X262" s="3">
        <v>28.77863228</v>
      </c>
      <c r="Y262" s="3"/>
    </row>
    <row r="263" spans="1:25" x14ac:dyDescent="0.3">
      <c r="A263" s="2" t="s">
        <v>305</v>
      </c>
      <c r="B263" s="2" t="s">
        <v>150</v>
      </c>
      <c r="C263" s="2" t="s">
        <v>143</v>
      </c>
      <c r="D263" s="2" t="s">
        <v>157</v>
      </c>
      <c r="E263" s="2">
        <v>2</v>
      </c>
      <c r="F263" s="2">
        <v>3</v>
      </c>
      <c r="G263" s="2">
        <v>10</v>
      </c>
      <c r="H263" s="2">
        <v>2</v>
      </c>
      <c r="I263" s="3">
        <v>20.95</v>
      </c>
      <c r="J263" s="3">
        <v>11.51</v>
      </c>
      <c r="K263" s="3">
        <v>19</v>
      </c>
      <c r="L263" s="3">
        <v>31</v>
      </c>
      <c r="M263" s="3">
        <v>19.27</v>
      </c>
      <c r="N263" s="3">
        <v>15.5</v>
      </c>
      <c r="O263" s="3">
        <v>62.35</v>
      </c>
      <c r="P263" s="3">
        <v>73.31890138</v>
      </c>
      <c r="Q263" s="3">
        <v>14.98040387</v>
      </c>
      <c r="R263" s="3">
        <v>53.51</v>
      </c>
      <c r="S263" s="3">
        <v>119.2338841</v>
      </c>
      <c r="T263" s="3">
        <v>40.91076142</v>
      </c>
      <c r="U263" s="3">
        <v>61.649484536082468</v>
      </c>
      <c r="V263" s="3">
        <v>4.5</v>
      </c>
      <c r="W263" s="3">
        <v>23.516999999999999</v>
      </c>
      <c r="X263" s="3">
        <v>37.971205920000003</v>
      </c>
      <c r="Y263" s="3"/>
    </row>
    <row r="264" spans="1:25" x14ac:dyDescent="0.3">
      <c r="A264" s="2" t="s">
        <v>306</v>
      </c>
      <c r="B264" s="2" t="s">
        <v>150</v>
      </c>
      <c r="C264" s="2" t="s">
        <v>143</v>
      </c>
      <c r="D264" s="2" t="s">
        <v>157</v>
      </c>
      <c r="E264" s="2">
        <v>2</v>
      </c>
      <c r="F264" s="2">
        <v>3</v>
      </c>
      <c r="G264" s="2">
        <v>10</v>
      </c>
      <c r="H264" s="2">
        <v>3</v>
      </c>
      <c r="I264" s="3">
        <v>16.809999999999999</v>
      </c>
      <c r="J264" s="3">
        <v>11.03</v>
      </c>
      <c r="K264" s="3">
        <v>16</v>
      </c>
      <c r="L264" s="3">
        <v>33</v>
      </c>
      <c r="M264" s="3">
        <v>13.872</v>
      </c>
      <c r="N264" s="3">
        <v>42.4</v>
      </c>
      <c r="O264" s="3">
        <v>58.81</v>
      </c>
      <c r="P264" s="3">
        <v>86.260510589999996</v>
      </c>
      <c r="Q264" s="3">
        <v>17.32688662</v>
      </c>
      <c r="R264" s="3">
        <v>56.07</v>
      </c>
      <c r="S264" s="3">
        <v>113.359522</v>
      </c>
      <c r="T264" s="3">
        <v>42.471233789999999</v>
      </c>
      <c r="U264" s="3">
        <v>60.775862068965523</v>
      </c>
      <c r="V264" s="3">
        <v>5.5</v>
      </c>
      <c r="W264" s="3">
        <v>28.475000000000001</v>
      </c>
      <c r="X264" s="3">
        <v>21.559832799999999</v>
      </c>
      <c r="Y264" s="3"/>
    </row>
    <row r="265" spans="1:25" x14ac:dyDescent="0.3">
      <c r="A265" s="2" t="s">
        <v>307</v>
      </c>
      <c r="B265" s="2" t="s">
        <v>150</v>
      </c>
      <c r="C265" s="2" t="s">
        <v>143</v>
      </c>
      <c r="D265" s="2" t="s">
        <v>157</v>
      </c>
      <c r="E265" s="2">
        <v>2</v>
      </c>
      <c r="F265" s="2">
        <v>3</v>
      </c>
      <c r="G265" s="2">
        <v>10</v>
      </c>
      <c r="H265" s="2">
        <v>4</v>
      </c>
      <c r="I265" s="3">
        <v>19.46</v>
      </c>
      <c r="J265" s="3">
        <v>11.74</v>
      </c>
      <c r="K265" s="3">
        <v>19</v>
      </c>
      <c r="L265" s="3">
        <v>30</v>
      </c>
      <c r="M265" s="3">
        <v>12.178000000000001</v>
      </c>
      <c r="N265" s="3">
        <v>20.2</v>
      </c>
      <c r="O265" s="3">
        <v>59.75</v>
      </c>
      <c r="P265" s="3">
        <v>74.961021279999997</v>
      </c>
      <c r="Q265" s="3">
        <v>25.089300510000001</v>
      </c>
      <c r="R265" s="3">
        <v>59.27</v>
      </c>
      <c r="S265" s="3">
        <v>115.0049662</v>
      </c>
      <c r="T265" s="3">
        <v>41.566017369999997</v>
      </c>
      <c r="U265" s="3">
        <v>54.906542056074777</v>
      </c>
      <c r="V265" s="3">
        <v>5.5</v>
      </c>
      <c r="W265" s="3">
        <v>24.026199999999999</v>
      </c>
      <c r="X265" s="3">
        <v>42.001119469999999</v>
      </c>
      <c r="Y265" s="3"/>
    </row>
    <row r="266" spans="1:25" x14ac:dyDescent="0.3">
      <c r="A266" s="2" t="s">
        <v>308</v>
      </c>
      <c r="B266" s="2" t="s">
        <v>150</v>
      </c>
      <c r="C266" s="2" t="s">
        <v>143</v>
      </c>
      <c r="D266" s="2" t="s">
        <v>157</v>
      </c>
      <c r="E266" s="2">
        <v>2</v>
      </c>
      <c r="F266" s="2">
        <v>3</v>
      </c>
      <c r="G266" s="2">
        <v>10</v>
      </c>
      <c r="H266" s="2">
        <v>5</v>
      </c>
      <c r="I266" s="3">
        <v>18</v>
      </c>
      <c r="J266" s="3">
        <v>13.16</v>
      </c>
      <c r="K266" s="3">
        <v>19</v>
      </c>
      <c r="L266" s="3">
        <v>28</v>
      </c>
      <c r="M266" s="3">
        <v>16.771999999999998</v>
      </c>
      <c r="N266" s="3">
        <v>39.299999999999997</v>
      </c>
      <c r="O266" s="3">
        <v>59.74</v>
      </c>
      <c r="P266" s="3">
        <v>80.252308170000006</v>
      </c>
      <c r="Q266" s="3">
        <v>25.10239232</v>
      </c>
      <c r="R266" s="3">
        <v>49.58</v>
      </c>
      <c r="S266" s="3">
        <v>123.6127315</v>
      </c>
      <c r="T266" s="3">
        <v>35.062631099999997</v>
      </c>
      <c r="U266" s="3">
        <v>53.375527426160339</v>
      </c>
      <c r="V266" s="3">
        <v>4</v>
      </c>
      <c r="W266" s="3">
        <v>12.488799999999999</v>
      </c>
      <c r="X266" s="3">
        <v>34.86092558</v>
      </c>
      <c r="Y266" s="3"/>
    </row>
    <row r="267" spans="1:25" x14ac:dyDescent="0.3">
      <c r="A267" s="2" t="s">
        <v>309</v>
      </c>
      <c r="B267" s="2" t="s">
        <v>30</v>
      </c>
      <c r="C267" s="2" t="s">
        <v>31</v>
      </c>
      <c r="D267" s="2" t="s">
        <v>54</v>
      </c>
      <c r="E267" s="2">
        <v>2</v>
      </c>
      <c r="F267" s="2">
        <v>3</v>
      </c>
      <c r="G267" s="2">
        <v>10</v>
      </c>
      <c r="H267" s="2">
        <v>1</v>
      </c>
      <c r="I267" s="3">
        <v>43.04</v>
      </c>
      <c r="J267" s="3">
        <v>15.16</v>
      </c>
      <c r="K267" s="3">
        <v>20</v>
      </c>
      <c r="L267" s="3">
        <v>45</v>
      </c>
      <c r="M267" s="3">
        <v>18.562999999999999</v>
      </c>
      <c r="N267" s="3">
        <v>27.1</v>
      </c>
      <c r="O267" s="3">
        <v>60.27</v>
      </c>
      <c r="P267" s="3">
        <v>54.901559970000001</v>
      </c>
      <c r="Q267" s="3">
        <v>20.313709660000001</v>
      </c>
      <c r="R267" s="3">
        <v>57.61</v>
      </c>
      <c r="S267" s="3"/>
      <c r="T267" s="3"/>
      <c r="U267" s="3">
        <v>56.95652173913043</v>
      </c>
      <c r="V267" s="3">
        <v>5</v>
      </c>
      <c r="W267" s="3">
        <v>14.083399999999999</v>
      </c>
      <c r="X267" s="3">
        <v>27.132923259999998</v>
      </c>
      <c r="Y267" s="3"/>
    </row>
    <row r="268" spans="1:25" x14ac:dyDescent="0.3">
      <c r="A268" s="2" t="s">
        <v>310</v>
      </c>
      <c r="B268" s="2" t="s">
        <v>30</v>
      </c>
      <c r="C268" s="2" t="s">
        <v>31</v>
      </c>
      <c r="D268" s="2" t="s">
        <v>54</v>
      </c>
      <c r="E268" s="2">
        <v>2</v>
      </c>
      <c r="F268" s="2">
        <v>3</v>
      </c>
      <c r="G268" s="2">
        <v>10</v>
      </c>
      <c r="H268" s="2">
        <v>2</v>
      </c>
      <c r="I268" s="3">
        <v>35.47</v>
      </c>
      <c r="J268" s="3">
        <v>13.35</v>
      </c>
      <c r="K268" s="3">
        <v>23</v>
      </c>
      <c r="L268" s="3">
        <v>49</v>
      </c>
      <c r="M268" s="3">
        <v>28.420999999999999</v>
      </c>
      <c r="N268" s="3">
        <v>41.3</v>
      </c>
      <c r="O268" s="3">
        <v>64.790000000000006</v>
      </c>
      <c r="P268" s="3">
        <v>57.906075680000001</v>
      </c>
      <c r="Q268" s="3">
        <v>20.609563309999999</v>
      </c>
      <c r="R268" s="3">
        <v>44.76</v>
      </c>
      <c r="S268" s="3"/>
      <c r="T268" s="3">
        <v>28.058756209999999</v>
      </c>
      <c r="U268" s="3">
        <v>62.167689161554193</v>
      </c>
      <c r="V268" s="3">
        <v>5.5</v>
      </c>
      <c r="W268" s="3">
        <v>21.8018</v>
      </c>
      <c r="X268" s="3">
        <v>54.323894789999997</v>
      </c>
      <c r="Y268" s="3"/>
    </row>
    <row r="269" spans="1:25" x14ac:dyDescent="0.3">
      <c r="A269" s="2" t="s">
        <v>311</v>
      </c>
      <c r="B269" s="2" t="s">
        <v>30</v>
      </c>
      <c r="C269" s="2" t="s">
        <v>31</v>
      </c>
      <c r="D269" s="2" t="s">
        <v>54</v>
      </c>
      <c r="E269" s="2">
        <v>2</v>
      </c>
      <c r="F269" s="2">
        <v>3</v>
      </c>
      <c r="G269" s="2">
        <v>10</v>
      </c>
      <c r="H269" s="2">
        <v>3</v>
      </c>
      <c r="I269" s="3">
        <v>37.56</v>
      </c>
      <c r="J269" s="3">
        <v>14.33</v>
      </c>
      <c r="K269" s="3">
        <v>23</v>
      </c>
      <c r="L269" s="3">
        <v>48</v>
      </c>
      <c r="M269" s="3">
        <v>20.413</v>
      </c>
      <c r="N269" s="3">
        <v>22.3</v>
      </c>
      <c r="O269" s="3">
        <v>73.02</v>
      </c>
      <c r="P269" s="3">
        <v>63.69883385</v>
      </c>
      <c r="Q269" s="3">
        <v>19.616029489999999</v>
      </c>
      <c r="R269" s="3">
        <v>52.41</v>
      </c>
      <c r="S269" s="3">
        <v>115.9423881</v>
      </c>
      <c r="T269" s="3">
        <v>38.2882149</v>
      </c>
      <c r="U269" s="3">
        <v>58.823529411764703</v>
      </c>
      <c r="V269" s="3">
        <v>5.5</v>
      </c>
      <c r="W269" s="3">
        <v>17.111799999999999</v>
      </c>
      <c r="X269" s="3">
        <v>39.828995630000001</v>
      </c>
      <c r="Y269" s="3"/>
    </row>
    <row r="270" spans="1:25" x14ac:dyDescent="0.3">
      <c r="A270" s="2" t="s">
        <v>312</v>
      </c>
      <c r="B270" s="2" t="s">
        <v>30</v>
      </c>
      <c r="C270" s="2" t="s">
        <v>31</v>
      </c>
      <c r="D270" s="2" t="s">
        <v>54</v>
      </c>
      <c r="E270" s="2">
        <v>2</v>
      </c>
      <c r="F270" s="2">
        <v>3</v>
      </c>
      <c r="G270" s="2">
        <v>10</v>
      </c>
      <c r="H270" s="2">
        <v>4</v>
      </c>
      <c r="I270" s="3">
        <v>38.29</v>
      </c>
      <c r="J270" s="3">
        <v>15.78</v>
      </c>
      <c r="K270" s="3">
        <v>22</v>
      </c>
      <c r="L270" s="3">
        <v>47</v>
      </c>
      <c r="M270" s="3">
        <v>23.675000000000001</v>
      </c>
      <c r="N270" s="3">
        <v>36.5</v>
      </c>
      <c r="O270" s="3">
        <v>68.59</v>
      </c>
      <c r="P270" s="3">
        <v>55.284786959999998</v>
      </c>
      <c r="Q270" s="3">
        <v>20.000142499999999</v>
      </c>
      <c r="R270" s="3">
        <v>55.79</v>
      </c>
      <c r="S270" s="3"/>
      <c r="T270" s="3">
        <v>38.761709199999999</v>
      </c>
      <c r="U270" s="3">
        <v>50.236966824644547</v>
      </c>
      <c r="V270" s="3">
        <v>6.5</v>
      </c>
      <c r="W270" s="3">
        <v>18.626000000000001</v>
      </c>
      <c r="X270" s="3">
        <v>68.713550749999996</v>
      </c>
      <c r="Y270" s="3"/>
    </row>
    <row r="271" spans="1:25" x14ac:dyDescent="0.3">
      <c r="A271" s="2" t="s">
        <v>313</v>
      </c>
      <c r="B271" s="2" t="s">
        <v>30</v>
      </c>
      <c r="C271" s="2" t="s">
        <v>31</v>
      </c>
      <c r="D271" s="2" t="s">
        <v>54</v>
      </c>
      <c r="E271" s="2">
        <v>2</v>
      </c>
      <c r="F271" s="2">
        <v>3</v>
      </c>
      <c r="G271" s="2">
        <v>10</v>
      </c>
      <c r="H271" s="2">
        <v>5</v>
      </c>
      <c r="I271" s="3">
        <v>43.9</v>
      </c>
      <c r="J271" s="3">
        <v>16.34</v>
      </c>
      <c r="K271" s="3">
        <v>23</v>
      </c>
      <c r="L271" s="3">
        <v>50</v>
      </c>
      <c r="M271" s="3">
        <v>19.957999999999998</v>
      </c>
      <c r="N271" s="3">
        <v>35.700000000000003</v>
      </c>
      <c r="O271" s="3">
        <v>64.930000000000007</v>
      </c>
      <c r="P271" s="3">
        <v>40.472417649999997</v>
      </c>
      <c r="Q271" s="3">
        <v>18.959562160000001</v>
      </c>
      <c r="R271" s="3">
        <v>51.89</v>
      </c>
      <c r="S271" s="3">
        <v>119.54197979999999</v>
      </c>
      <c r="T271" s="3">
        <v>38.23022495</v>
      </c>
      <c r="U271" s="3">
        <v>52.357320099255588</v>
      </c>
      <c r="V271" s="3">
        <v>4</v>
      </c>
      <c r="W271" s="3">
        <v>13.6144</v>
      </c>
      <c r="X271" s="3">
        <v>29.862223839999999</v>
      </c>
      <c r="Y271" s="3"/>
    </row>
    <row r="272" spans="1:25" x14ac:dyDescent="0.3">
      <c r="A272" s="2" t="s">
        <v>314</v>
      </c>
      <c r="B272" s="2" t="s">
        <v>30</v>
      </c>
      <c r="C272" s="2" t="s">
        <v>31</v>
      </c>
      <c r="D272" s="2" t="s">
        <v>61</v>
      </c>
      <c r="E272" s="2">
        <v>2</v>
      </c>
      <c r="F272" s="2">
        <v>3</v>
      </c>
      <c r="G272" s="2">
        <v>10</v>
      </c>
      <c r="H272" s="2">
        <v>1</v>
      </c>
      <c r="I272" s="3">
        <v>38.950000000000003</v>
      </c>
      <c r="J272" s="3">
        <v>17.41</v>
      </c>
      <c r="K272" s="3">
        <v>21</v>
      </c>
      <c r="L272" s="3">
        <v>54</v>
      </c>
      <c r="M272" s="3">
        <v>22.555</v>
      </c>
      <c r="N272" s="3">
        <v>33.200000000000003</v>
      </c>
      <c r="O272" s="3">
        <v>61.05</v>
      </c>
      <c r="P272" s="3">
        <v>77.331944300000004</v>
      </c>
      <c r="Q272" s="3">
        <v>24.57829327</v>
      </c>
      <c r="R272" s="3">
        <v>51.05</v>
      </c>
      <c r="S272" s="3">
        <v>122.7516991</v>
      </c>
      <c r="T272" s="3">
        <v>32.864844439999999</v>
      </c>
      <c r="U272" s="3">
        <v>57.203389830508463</v>
      </c>
      <c r="V272" s="3">
        <v>5</v>
      </c>
      <c r="W272" s="3"/>
      <c r="X272" s="3">
        <v>44.793899500000002</v>
      </c>
      <c r="Y272" s="3"/>
    </row>
    <row r="273" spans="1:25" x14ac:dyDescent="0.3">
      <c r="A273" s="2" t="s">
        <v>315</v>
      </c>
      <c r="B273" s="2" t="s">
        <v>30</v>
      </c>
      <c r="C273" s="2" t="s">
        <v>31</v>
      </c>
      <c r="D273" s="2" t="s">
        <v>61</v>
      </c>
      <c r="E273" s="2">
        <v>2</v>
      </c>
      <c r="F273" s="2">
        <v>3</v>
      </c>
      <c r="G273" s="2">
        <v>10</v>
      </c>
      <c r="H273" s="2">
        <v>2</v>
      </c>
      <c r="I273" s="3">
        <v>52.4</v>
      </c>
      <c r="J273" s="3">
        <v>16.399999999999999</v>
      </c>
      <c r="K273" s="3">
        <v>19</v>
      </c>
      <c r="L273" s="3">
        <v>41</v>
      </c>
      <c r="M273" s="3">
        <v>25.007000000000001</v>
      </c>
      <c r="N273" s="3">
        <v>30.7</v>
      </c>
      <c r="O273" s="3">
        <v>78.37</v>
      </c>
      <c r="P273" s="3">
        <v>87.722185909999993</v>
      </c>
      <c r="Q273" s="3">
        <v>17.613914950000002</v>
      </c>
      <c r="R273" s="3">
        <v>63.71</v>
      </c>
      <c r="S273" s="3">
        <v>115.9247859</v>
      </c>
      <c r="T273" s="3">
        <v>46.043512030000002</v>
      </c>
      <c r="U273" s="3">
        <v>54.193548387096783</v>
      </c>
      <c r="V273" s="3">
        <v>3.5</v>
      </c>
      <c r="W273" s="3">
        <v>15.41</v>
      </c>
      <c r="X273" s="3">
        <v>52.535270850000003</v>
      </c>
      <c r="Y273" s="3"/>
    </row>
    <row r="274" spans="1:25" x14ac:dyDescent="0.3">
      <c r="A274" s="2" t="s">
        <v>316</v>
      </c>
      <c r="B274" s="2" t="s">
        <v>30</v>
      </c>
      <c r="C274" s="2" t="s">
        <v>31</v>
      </c>
      <c r="D274" s="2" t="s">
        <v>61</v>
      </c>
      <c r="E274" s="2">
        <v>2</v>
      </c>
      <c r="F274" s="2">
        <v>3</v>
      </c>
      <c r="G274" s="2">
        <v>10</v>
      </c>
      <c r="H274" s="2">
        <v>3</v>
      </c>
      <c r="I274" s="3">
        <v>45.68</v>
      </c>
      <c r="J274" s="3">
        <v>15.38</v>
      </c>
      <c r="K274" s="3">
        <v>20</v>
      </c>
      <c r="L274" s="3">
        <v>47</v>
      </c>
      <c r="M274" s="3">
        <v>24.122</v>
      </c>
      <c r="N274" s="3">
        <v>28.3</v>
      </c>
      <c r="O274" s="3">
        <v>79.540000000000006</v>
      </c>
      <c r="P274" s="3">
        <v>100.3000531</v>
      </c>
      <c r="Q274" s="3">
        <v>11.241160969999999</v>
      </c>
      <c r="R274" s="3">
        <v>61.65</v>
      </c>
      <c r="S274" s="3">
        <v>117.3087623</v>
      </c>
      <c r="T274" s="3">
        <v>45.1187112</v>
      </c>
      <c r="U274" s="3">
        <v>49.052132701421797</v>
      </c>
      <c r="V274" s="3">
        <v>4.5</v>
      </c>
      <c r="W274" s="3">
        <v>18.893999999999998</v>
      </c>
      <c r="X274" s="3">
        <v>22.035047670000001</v>
      </c>
      <c r="Y274" s="3"/>
    </row>
    <row r="275" spans="1:25" x14ac:dyDescent="0.3">
      <c r="A275" s="2" t="s">
        <v>317</v>
      </c>
      <c r="B275" s="2" t="s">
        <v>30</v>
      </c>
      <c r="C275" s="2" t="s">
        <v>31</v>
      </c>
      <c r="D275" s="2" t="s">
        <v>61</v>
      </c>
      <c r="E275" s="2">
        <v>2</v>
      </c>
      <c r="F275" s="2">
        <v>3</v>
      </c>
      <c r="G275" s="2">
        <v>10</v>
      </c>
      <c r="H275" s="2">
        <v>4</v>
      </c>
      <c r="I275" s="3">
        <v>42.12</v>
      </c>
      <c r="J275" s="3">
        <v>14.45</v>
      </c>
      <c r="K275" s="3">
        <v>22</v>
      </c>
      <c r="L275" s="3">
        <v>56</v>
      </c>
      <c r="M275" s="3">
        <v>18.597799999999999</v>
      </c>
      <c r="N275" s="3">
        <v>40.700000000000003</v>
      </c>
      <c r="O275" s="3">
        <v>65.91</v>
      </c>
      <c r="P275" s="3">
        <v>69.458923949999999</v>
      </c>
      <c r="Q275" s="3">
        <v>26.590579160000001</v>
      </c>
      <c r="R275" s="3">
        <v>48.82</v>
      </c>
      <c r="S275" s="3">
        <v>122.90020579999999</v>
      </c>
      <c r="T275" s="3">
        <v>29.78745541</v>
      </c>
      <c r="U275" s="3">
        <v>62.577962577962573</v>
      </c>
      <c r="V275" s="3">
        <v>4</v>
      </c>
      <c r="W275" s="3">
        <v>16.910799999999998</v>
      </c>
      <c r="X275" s="3">
        <v>23.078635649999999</v>
      </c>
      <c r="Y275" s="3"/>
    </row>
    <row r="276" spans="1:25" x14ac:dyDescent="0.3">
      <c r="A276" s="2" t="s">
        <v>318</v>
      </c>
      <c r="B276" s="2" t="s">
        <v>30</v>
      </c>
      <c r="C276" s="2" t="s">
        <v>31</v>
      </c>
      <c r="D276" s="2" t="s">
        <v>61</v>
      </c>
      <c r="E276" s="2">
        <v>2</v>
      </c>
      <c r="F276" s="2">
        <v>3</v>
      </c>
      <c r="G276" s="2">
        <v>10</v>
      </c>
      <c r="H276" s="2">
        <v>5</v>
      </c>
      <c r="I276" s="3">
        <v>46.09</v>
      </c>
      <c r="J276" s="3">
        <v>17.989999999999998</v>
      </c>
      <c r="K276" s="3">
        <v>19</v>
      </c>
      <c r="L276" s="3">
        <v>50</v>
      </c>
      <c r="M276" s="3">
        <v>28.312999999999999</v>
      </c>
      <c r="N276" s="3">
        <v>33.5</v>
      </c>
      <c r="O276" s="3">
        <v>68.87</v>
      </c>
      <c r="P276" s="3">
        <v>72.763666580000006</v>
      </c>
      <c r="Q276" s="3">
        <v>24.940018039999998</v>
      </c>
      <c r="R276" s="3">
        <v>57.71</v>
      </c>
      <c r="S276" s="3">
        <v>118.5850631</v>
      </c>
      <c r="T276" s="3">
        <v>36.407929080000002</v>
      </c>
      <c r="U276" s="3">
        <v>66.283694211224045</v>
      </c>
      <c r="V276" s="3">
        <v>4.5</v>
      </c>
      <c r="W276" s="3">
        <v>15.811999999999999</v>
      </c>
      <c r="X276" s="3">
        <v>33.344552499999999</v>
      </c>
      <c r="Y276" s="3"/>
    </row>
    <row r="277" spans="1:25" x14ac:dyDescent="0.3">
      <c r="A277" s="2" t="s">
        <v>319</v>
      </c>
      <c r="B277" s="2" t="s">
        <v>150</v>
      </c>
      <c r="C277" s="2" t="s">
        <v>143</v>
      </c>
      <c r="D277" s="2" t="s">
        <v>151</v>
      </c>
      <c r="E277" s="2">
        <v>2</v>
      </c>
      <c r="F277" s="2">
        <v>3</v>
      </c>
      <c r="G277" s="2">
        <v>10</v>
      </c>
      <c r="H277" s="2">
        <v>1</v>
      </c>
      <c r="I277" s="3">
        <v>25.07</v>
      </c>
      <c r="J277" s="3">
        <v>11.74</v>
      </c>
      <c r="K277" s="3">
        <v>19</v>
      </c>
      <c r="L277" s="3">
        <v>43</v>
      </c>
      <c r="M277" s="3">
        <v>12.949</v>
      </c>
      <c r="N277" s="3">
        <v>22.5</v>
      </c>
      <c r="O277" s="3">
        <v>54.62</v>
      </c>
      <c r="P277" s="3">
        <v>78.200590520000006</v>
      </c>
      <c r="Q277" s="3">
        <v>28.706565449999999</v>
      </c>
      <c r="R277" s="3">
        <v>63.01</v>
      </c>
      <c r="S277" s="3">
        <v>113.09237330000001</v>
      </c>
      <c r="T277" s="3">
        <v>42.603758050000003</v>
      </c>
      <c r="U277" s="3">
        <v>61.649484536082468</v>
      </c>
      <c r="V277" s="3">
        <v>4</v>
      </c>
      <c r="W277" s="3">
        <v>15.1286</v>
      </c>
      <c r="X277" s="3">
        <v>48.936034650000003</v>
      </c>
      <c r="Y277" s="3"/>
    </row>
    <row r="278" spans="1:25" x14ac:dyDescent="0.3">
      <c r="A278" s="2" t="s">
        <v>320</v>
      </c>
      <c r="B278" s="2" t="s">
        <v>150</v>
      </c>
      <c r="C278" s="2" t="s">
        <v>143</v>
      </c>
      <c r="D278" s="2" t="s">
        <v>151</v>
      </c>
      <c r="E278" s="2">
        <v>2</v>
      </c>
      <c r="F278" s="2">
        <v>3</v>
      </c>
      <c r="G278" s="2">
        <v>10</v>
      </c>
      <c r="H278" s="2">
        <v>2</v>
      </c>
      <c r="I278" s="3">
        <v>21.24</v>
      </c>
      <c r="J278" s="3">
        <v>12.72</v>
      </c>
      <c r="K278" s="3">
        <v>19</v>
      </c>
      <c r="L278" s="3">
        <v>41</v>
      </c>
      <c r="M278" s="3">
        <v>10.021000000000001</v>
      </c>
      <c r="N278" s="3">
        <v>27.8</v>
      </c>
      <c r="O278" s="3">
        <v>68.31</v>
      </c>
      <c r="P278" s="3">
        <v>90.674353879999998</v>
      </c>
      <c r="Q278" s="3">
        <v>25.481766029999999</v>
      </c>
      <c r="R278" s="3">
        <v>52.86</v>
      </c>
      <c r="S278" s="3">
        <v>118.4036029</v>
      </c>
      <c r="T278" s="3">
        <v>33.867037070000002</v>
      </c>
      <c r="U278" s="3">
        <v>67.444097138735273</v>
      </c>
      <c r="V278" s="3">
        <v>4</v>
      </c>
      <c r="W278" s="3">
        <v>18.585799999999999</v>
      </c>
      <c r="X278" s="3">
        <v>54.017563379999999</v>
      </c>
      <c r="Y278" s="3"/>
    </row>
    <row r="279" spans="1:25" x14ac:dyDescent="0.3">
      <c r="A279" s="2" t="s">
        <v>321</v>
      </c>
      <c r="B279" s="2" t="s">
        <v>150</v>
      </c>
      <c r="C279" s="2" t="s">
        <v>143</v>
      </c>
      <c r="D279" s="2" t="s">
        <v>151</v>
      </c>
      <c r="E279" s="2">
        <v>2</v>
      </c>
      <c r="F279" s="2">
        <v>3</v>
      </c>
      <c r="G279" s="2">
        <v>10</v>
      </c>
      <c r="H279" s="2">
        <v>3</v>
      </c>
      <c r="I279" s="3">
        <v>27.02</v>
      </c>
      <c r="J279" s="3">
        <v>10.54</v>
      </c>
      <c r="K279" s="3">
        <v>20</v>
      </c>
      <c r="L279" s="3">
        <v>41</v>
      </c>
      <c r="M279" s="3">
        <v>11.343</v>
      </c>
      <c r="N279" s="3">
        <v>46.2</v>
      </c>
      <c r="O279" s="3">
        <v>54.58</v>
      </c>
      <c r="P279" s="3">
        <v>78.337114060000005</v>
      </c>
      <c r="Q279" s="3">
        <v>26.119241949999999</v>
      </c>
      <c r="R279" s="3">
        <v>46.34</v>
      </c>
      <c r="S279" s="3">
        <v>122.5156856</v>
      </c>
      <c r="T279" s="3">
        <v>27.477296079999999</v>
      </c>
      <c r="U279" s="3">
        <v>58.651642475171883</v>
      </c>
      <c r="V279" s="3">
        <v>4.5</v>
      </c>
      <c r="W279" s="3">
        <v>20.207200000000011</v>
      </c>
      <c r="X279" s="3">
        <v>62.815571900000002</v>
      </c>
      <c r="Y279" s="3"/>
    </row>
    <row r="280" spans="1:25" x14ac:dyDescent="0.3">
      <c r="A280" s="2" t="s">
        <v>322</v>
      </c>
      <c r="B280" s="2" t="s">
        <v>150</v>
      </c>
      <c r="C280" s="2" t="s">
        <v>143</v>
      </c>
      <c r="D280" s="2" t="s">
        <v>151</v>
      </c>
      <c r="E280" s="2">
        <v>2</v>
      </c>
      <c r="F280" s="2">
        <v>3</v>
      </c>
      <c r="G280" s="2">
        <v>10</v>
      </c>
      <c r="H280" s="2">
        <v>4</v>
      </c>
      <c r="I280" s="3">
        <v>18.57</v>
      </c>
      <c r="J280" s="3">
        <v>11.68</v>
      </c>
      <c r="K280" s="3">
        <v>21</v>
      </c>
      <c r="L280" s="3">
        <v>49</v>
      </c>
      <c r="M280" s="3">
        <v>11.835000000000001</v>
      </c>
      <c r="N280" s="3">
        <v>28.2</v>
      </c>
      <c r="O280" s="3">
        <v>59.47</v>
      </c>
      <c r="P280" s="3">
        <v>70.758407539999993</v>
      </c>
      <c r="Q280" s="3">
        <v>33.925113119999999</v>
      </c>
      <c r="R280" s="3">
        <v>58.71</v>
      </c>
      <c r="S280" s="3">
        <v>116.9681776</v>
      </c>
      <c r="T280" s="3">
        <v>42.55790056</v>
      </c>
      <c r="U280" s="3">
        <v>60.585267406659938</v>
      </c>
      <c r="V280" s="3">
        <v>4</v>
      </c>
      <c r="W280" s="3">
        <v>20.180399999999999</v>
      </c>
      <c r="X280" s="3"/>
      <c r="Y280" s="3"/>
    </row>
    <row r="281" spans="1:25" x14ac:dyDescent="0.3">
      <c r="A281" s="2" t="s">
        <v>323</v>
      </c>
      <c r="B281" s="2" t="s">
        <v>150</v>
      </c>
      <c r="C281" s="2" t="s">
        <v>143</v>
      </c>
      <c r="D281" s="2" t="s">
        <v>151</v>
      </c>
      <c r="E281" s="2">
        <v>2</v>
      </c>
      <c r="F281" s="2">
        <v>3</v>
      </c>
      <c r="G281" s="2">
        <v>10</v>
      </c>
      <c r="H281" s="2">
        <v>5</v>
      </c>
      <c r="I281" s="3">
        <v>23.22</v>
      </c>
      <c r="J281" s="3">
        <v>11.34</v>
      </c>
      <c r="K281" s="3">
        <v>20</v>
      </c>
      <c r="L281" s="3">
        <v>36</v>
      </c>
      <c r="M281" s="3">
        <v>12.198</v>
      </c>
      <c r="N281" s="3">
        <v>28.6</v>
      </c>
      <c r="O281" s="3">
        <v>64.989999999999995</v>
      </c>
      <c r="P281" s="3">
        <v>88.538482869999996</v>
      </c>
      <c r="Q281" s="3">
        <v>25.488289470000002</v>
      </c>
      <c r="R281" s="3">
        <v>51.17</v>
      </c>
      <c r="S281" s="3">
        <v>117.42965479999999</v>
      </c>
      <c r="T281" s="3">
        <v>37.923561280000001</v>
      </c>
      <c r="U281" s="3">
        <v>58.822864889290557</v>
      </c>
      <c r="V281" s="3">
        <v>4</v>
      </c>
      <c r="W281" s="3">
        <v>23.664400000000001</v>
      </c>
      <c r="X281" s="3">
        <v>48.30619471</v>
      </c>
      <c r="Y281" s="3"/>
    </row>
    <row r="282" spans="1:25" x14ac:dyDescent="0.3">
      <c r="A282" s="2" t="s">
        <v>324</v>
      </c>
      <c r="B282" s="2" t="s">
        <v>150</v>
      </c>
      <c r="C282" s="2" t="s">
        <v>143</v>
      </c>
      <c r="D282" s="2" t="s">
        <v>169</v>
      </c>
      <c r="E282" s="2">
        <v>2</v>
      </c>
      <c r="F282" s="2">
        <v>4</v>
      </c>
      <c r="G282" s="2">
        <v>14</v>
      </c>
      <c r="H282" s="2">
        <v>1</v>
      </c>
      <c r="I282" s="3">
        <v>31.84</v>
      </c>
      <c r="J282" s="3">
        <v>11.16</v>
      </c>
      <c r="K282" s="3">
        <v>18</v>
      </c>
      <c r="L282" s="3">
        <v>41</v>
      </c>
      <c r="M282" s="3">
        <v>22.951000000000001</v>
      </c>
      <c r="N282" s="3">
        <v>24</v>
      </c>
      <c r="O282" s="3">
        <v>54.81</v>
      </c>
      <c r="P282" s="3">
        <v>44.999894769999997</v>
      </c>
      <c r="Q282" s="3">
        <v>23.574940080000001</v>
      </c>
      <c r="R282" s="3">
        <v>57.43</v>
      </c>
      <c r="S282" s="3">
        <v>119.123947</v>
      </c>
      <c r="T282" s="3">
        <v>41.565237879999998</v>
      </c>
      <c r="U282" s="3">
        <v>38.971428571428582</v>
      </c>
      <c r="V282" s="3">
        <v>4.5</v>
      </c>
      <c r="W282" s="3">
        <v>17.942599999999999</v>
      </c>
      <c r="X282" s="3"/>
      <c r="Y282" s="3"/>
    </row>
    <row r="283" spans="1:25" x14ac:dyDescent="0.3">
      <c r="A283" s="2" t="s">
        <v>325</v>
      </c>
      <c r="B283" s="2" t="s">
        <v>150</v>
      </c>
      <c r="C283" s="2" t="s">
        <v>143</v>
      </c>
      <c r="D283" s="2" t="s">
        <v>169</v>
      </c>
      <c r="E283" s="2">
        <v>2</v>
      </c>
      <c r="F283" s="2">
        <v>4</v>
      </c>
      <c r="G283" s="2">
        <v>14</v>
      </c>
      <c r="H283" s="2">
        <v>2</v>
      </c>
      <c r="I283" s="3">
        <v>29.18</v>
      </c>
      <c r="J283" s="3">
        <v>12.56</v>
      </c>
      <c r="K283" s="3">
        <v>21</v>
      </c>
      <c r="L283" s="3">
        <v>48</v>
      </c>
      <c r="M283" s="3">
        <v>23.611999999999998</v>
      </c>
      <c r="N283" s="3">
        <v>23.4</v>
      </c>
      <c r="O283" s="3">
        <v>52.51</v>
      </c>
      <c r="P283" s="3">
        <v>63.603813700000003</v>
      </c>
      <c r="Q283" s="3">
        <v>30.321213700000001</v>
      </c>
      <c r="R283" s="3">
        <v>56.55</v>
      </c>
      <c r="S283" s="3">
        <v>117.9078365</v>
      </c>
      <c r="T283" s="3">
        <v>41.213110780000001</v>
      </c>
      <c r="U283" s="3">
        <v>38.347179711412331</v>
      </c>
      <c r="V283" s="3">
        <v>4.5</v>
      </c>
      <c r="W283" s="3">
        <v>25.084800000000008</v>
      </c>
      <c r="X283" s="3">
        <v>62.68971131</v>
      </c>
      <c r="Y283" s="3"/>
    </row>
    <row r="284" spans="1:25" x14ac:dyDescent="0.3">
      <c r="A284" s="2" t="s">
        <v>326</v>
      </c>
      <c r="B284" s="2" t="s">
        <v>150</v>
      </c>
      <c r="C284" s="2" t="s">
        <v>143</v>
      </c>
      <c r="D284" s="2" t="s">
        <v>169</v>
      </c>
      <c r="E284" s="2">
        <v>2</v>
      </c>
      <c r="F284" s="2">
        <v>4</v>
      </c>
      <c r="G284" s="2">
        <v>14</v>
      </c>
      <c r="H284" s="2">
        <v>3</v>
      </c>
      <c r="I284" s="3">
        <v>25.78</v>
      </c>
      <c r="J284" s="3">
        <v>16.63</v>
      </c>
      <c r="K284" s="3">
        <v>19</v>
      </c>
      <c r="L284" s="3">
        <v>35</v>
      </c>
      <c r="M284" s="3">
        <v>25.388999999999999</v>
      </c>
      <c r="N284" s="3">
        <v>26.7</v>
      </c>
      <c r="O284" s="3">
        <v>62.44</v>
      </c>
      <c r="P284" s="3">
        <v>81.060003820000006</v>
      </c>
      <c r="Q284" s="3">
        <v>26.319728340000001</v>
      </c>
      <c r="R284" s="3">
        <v>65.7</v>
      </c>
      <c r="S284" s="3">
        <v>113.9801239</v>
      </c>
      <c r="T284" s="3">
        <v>42.246525300000002</v>
      </c>
      <c r="U284" s="3">
        <v>41.496030087755948</v>
      </c>
      <c r="V284" s="3"/>
      <c r="W284" s="3">
        <v>26.746400000000001</v>
      </c>
      <c r="X284" s="3">
        <v>40.467051300000001</v>
      </c>
      <c r="Y284" s="3"/>
    </row>
    <row r="285" spans="1:25" x14ac:dyDescent="0.3">
      <c r="A285" s="2" t="s">
        <v>327</v>
      </c>
      <c r="B285" s="2" t="s">
        <v>150</v>
      </c>
      <c r="C285" s="2" t="s">
        <v>143</v>
      </c>
      <c r="D285" s="2" t="s">
        <v>169</v>
      </c>
      <c r="E285" s="2">
        <v>2</v>
      </c>
      <c r="F285" s="2">
        <v>4</v>
      </c>
      <c r="G285" s="2">
        <v>14</v>
      </c>
      <c r="H285" s="2">
        <v>4</v>
      </c>
      <c r="I285" s="3"/>
      <c r="J285" s="3">
        <v>15.04</v>
      </c>
      <c r="K285" s="3">
        <v>20</v>
      </c>
      <c r="L285" s="3">
        <v>32</v>
      </c>
      <c r="M285" s="3">
        <v>23.332000000000001</v>
      </c>
      <c r="N285" s="3">
        <v>24.5</v>
      </c>
      <c r="O285" s="3">
        <v>63.23</v>
      </c>
      <c r="P285" s="3">
        <v>74.384148229999994</v>
      </c>
      <c r="Q285" s="3">
        <v>20.76651391</v>
      </c>
      <c r="R285" s="3">
        <v>56.35</v>
      </c>
      <c r="S285" s="3">
        <v>118.0990029</v>
      </c>
      <c r="T285" s="3">
        <v>40.254710279999998</v>
      </c>
      <c r="U285" s="3">
        <v>42.969090117544617</v>
      </c>
      <c r="V285" s="3"/>
      <c r="W285" s="3">
        <v>23.9056</v>
      </c>
      <c r="X285" s="3"/>
      <c r="Y285" s="3"/>
    </row>
    <row r="286" spans="1:25" x14ac:dyDescent="0.3">
      <c r="A286" s="2" t="s">
        <v>328</v>
      </c>
      <c r="B286" s="2" t="s">
        <v>150</v>
      </c>
      <c r="C286" s="2" t="s">
        <v>143</v>
      </c>
      <c r="D286" s="2" t="s">
        <v>169</v>
      </c>
      <c r="E286" s="2">
        <v>2</v>
      </c>
      <c r="F286" s="2">
        <v>4</v>
      </c>
      <c r="G286" s="2">
        <v>14</v>
      </c>
      <c r="H286" s="2">
        <v>5</v>
      </c>
      <c r="I286" s="3">
        <v>25.12</v>
      </c>
      <c r="J286" s="3">
        <v>16.649999999999999</v>
      </c>
      <c r="K286" s="3">
        <v>21</v>
      </c>
      <c r="L286" s="3">
        <v>36</v>
      </c>
      <c r="M286" s="3">
        <v>26.625</v>
      </c>
      <c r="N286" s="3">
        <v>35.9</v>
      </c>
      <c r="O286" s="3">
        <v>56.5</v>
      </c>
      <c r="P286" s="3">
        <v>76.301495040000006</v>
      </c>
      <c r="Q286" s="3">
        <v>26.730316120000001</v>
      </c>
      <c r="R286" s="3">
        <v>59.44</v>
      </c>
      <c r="S286" s="3">
        <v>114.8985804</v>
      </c>
      <c r="T286" s="3">
        <v>40.758391770000003</v>
      </c>
      <c r="U286" s="3">
        <v>51.438000942951433</v>
      </c>
      <c r="V286" s="3">
        <v>4.5</v>
      </c>
      <c r="W286" s="3">
        <v>26.304200000000009</v>
      </c>
      <c r="X286" s="3">
        <v>74.349339060000005</v>
      </c>
      <c r="Y286" s="3"/>
    </row>
    <row r="287" spans="1:25" x14ac:dyDescent="0.3">
      <c r="A287" s="2" t="s">
        <v>329</v>
      </c>
      <c r="B287" s="2" t="s">
        <v>150</v>
      </c>
      <c r="C287" s="2" t="s">
        <v>143</v>
      </c>
      <c r="D287" s="2" t="s">
        <v>157</v>
      </c>
      <c r="E287" s="2">
        <v>2</v>
      </c>
      <c r="F287" s="2">
        <v>4</v>
      </c>
      <c r="G287" s="2">
        <v>14</v>
      </c>
      <c r="H287" s="2">
        <v>1</v>
      </c>
      <c r="I287" s="3">
        <v>22.6</v>
      </c>
      <c r="J287" s="3">
        <v>14.29</v>
      </c>
      <c r="K287" s="3">
        <v>18</v>
      </c>
      <c r="L287" s="3">
        <v>28</v>
      </c>
      <c r="M287" s="3">
        <v>28.024999999999999</v>
      </c>
      <c r="N287" s="3">
        <v>35.6</v>
      </c>
      <c r="O287" s="3">
        <v>65.650000000000006</v>
      </c>
      <c r="P287" s="3">
        <v>77.687693469999999</v>
      </c>
      <c r="Q287" s="3">
        <v>27.246660349999999</v>
      </c>
      <c r="R287" s="3">
        <v>61.55</v>
      </c>
      <c r="S287" s="3">
        <v>113.55651349999999</v>
      </c>
      <c r="T287" s="3">
        <v>44.738288969999999</v>
      </c>
      <c r="U287" s="3">
        <v>37.859957562897847</v>
      </c>
      <c r="V287" s="3">
        <v>4.5</v>
      </c>
      <c r="W287" s="3">
        <v>31.0746</v>
      </c>
      <c r="X287" s="3">
        <v>37.497748049999998</v>
      </c>
      <c r="Y287" s="3"/>
    </row>
    <row r="288" spans="1:25" x14ac:dyDescent="0.3">
      <c r="A288" s="2" t="s">
        <v>330</v>
      </c>
      <c r="B288" s="2" t="s">
        <v>150</v>
      </c>
      <c r="C288" s="2" t="s">
        <v>143</v>
      </c>
      <c r="D288" s="2" t="s">
        <v>157</v>
      </c>
      <c r="E288" s="2">
        <v>2</v>
      </c>
      <c r="F288" s="2">
        <v>4</v>
      </c>
      <c r="G288" s="2">
        <v>14</v>
      </c>
      <c r="H288" s="2">
        <v>2</v>
      </c>
      <c r="I288" s="3">
        <v>23.89</v>
      </c>
      <c r="J288" s="3">
        <v>12.87</v>
      </c>
      <c r="K288" s="3">
        <v>18</v>
      </c>
      <c r="L288" s="3">
        <v>26</v>
      </c>
      <c r="M288" s="3">
        <v>16.884499999999999</v>
      </c>
      <c r="N288" s="3">
        <v>30.2</v>
      </c>
      <c r="O288" s="3">
        <v>70.349999999999994</v>
      </c>
      <c r="P288" s="3"/>
      <c r="Q288" s="3">
        <v>18.360152500000002</v>
      </c>
      <c r="R288" s="3">
        <v>55.24</v>
      </c>
      <c r="S288" s="3">
        <v>117.67941</v>
      </c>
      <c r="T288" s="3">
        <v>42.300994080000002</v>
      </c>
      <c r="U288" s="3">
        <v>36.142625607779578</v>
      </c>
      <c r="V288" s="3">
        <v>5</v>
      </c>
      <c r="W288" s="3">
        <v>22.5656</v>
      </c>
      <c r="X288" s="3">
        <v>36.759412259999998</v>
      </c>
      <c r="Y288" s="3"/>
    </row>
    <row r="289" spans="1:25" x14ac:dyDescent="0.3">
      <c r="A289" s="2" t="s">
        <v>331</v>
      </c>
      <c r="B289" s="2" t="s">
        <v>150</v>
      </c>
      <c r="C289" s="2" t="s">
        <v>143</v>
      </c>
      <c r="D289" s="2" t="s">
        <v>157</v>
      </c>
      <c r="E289" s="2">
        <v>2</v>
      </c>
      <c r="F289" s="2">
        <v>4</v>
      </c>
      <c r="G289" s="2">
        <v>14</v>
      </c>
      <c r="H289" s="2">
        <v>3</v>
      </c>
      <c r="I289" s="3">
        <v>18.78</v>
      </c>
      <c r="J289" s="3">
        <v>13.19</v>
      </c>
      <c r="K289" s="3">
        <v>19</v>
      </c>
      <c r="L289" s="3">
        <v>26</v>
      </c>
      <c r="M289" s="3">
        <v>16.3475</v>
      </c>
      <c r="N289" s="3">
        <v>46.6</v>
      </c>
      <c r="O289" s="3">
        <v>61.2</v>
      </c>
      <c r="P289" s="3">
        <v>69.784903880000002</v>
      </c>
      <c r="Q289" s="3">
        <v>28.50587659</v>
      </c>
      <c r="R289" s="3">
        <v>50.88</v>
      </c>
      <c r="S289" s="3">
        <v>119.0071277</v>
      </c>
      <c r="T289" s="3">
        <v>40.088866279999998</v>
      </c>
      <c r="U289" s="3">
        <v>37.436932391523712</v>
      </c>
      <c r="V289" s="3">
        <v>4.5</v>
      </c>
      <c r="W289" s="3">
        <v>17.180140000000009</v>
      </c>
      <c r="X289" s="3">
        <v>52.330967399999999</v>
      </c>
      <c r="Y289" s="3"/>
    </row>
    <row r="290" spans="1:25" x14ac:dyDescent="0.3">
      <c r="A290" s="2" t="s">
        <v>332</v>
      </c>
      <c r="B290" s="2" t="s">
        <v>150</v>
      </c>
      <c r="C290" s="2" t="s">
        <v>143</v>
      </c>
      <c r="D290" s="2" t="s">
        <v>157</v>
      </c>
      <c r="E290" s="2">
        <v>2</v>
      </c>
      <c r="F290" s="2">
        <v>4</v>
      </c>
      <c r="G290" s="2">
        <v>14</v>
      </c>
      <c r="H290" s="2">
        <v>4</v>
      </c>
      <c r="I290" s="3">
        <v>16.87</v>
      </c>
      <c r="J290" s="3">
        <v>13.92</v>
      </c>
      <c r="K290" s="3">
        <v>16</v>
      </c>
      <c r="L290" s="3">
        <v>20</v>
      </c>
      <c r="M290" s="3">
        <v>17.1708</v>
      </c>
      <c r="N290" s="3">
        <v>35.200000000000003</v>
      </c>
      <c r="O290" s="3">
        <v>54.83</v>
      </c>
      <c r="P290" s="3">
        <v>68.715715250000002</v>
      </c>
      <c r="Q290" s="3">
        <v>27.355895159999999</v>
      </c>
      <c r="R290" s="3">
        <v>50.26</v>
      </c>
      <c r="S290" s="3">
        <v>120.1833996</v>
      </c>
      <c r="T290" s="3">
        <v>38.546164529999999</v>
      </c>
      <c r="U290" s="3">
        <v>40.806985847636298</v>
      </c>
      <c r="V290" s="3">
        <v>4.5</v>
      </c>
      <c r="W290" s="3">
        <v>30.807940000000009</v>
      </c>
      <c r="X290" s="3"/>
      <c r="Y290" s="3"/>
    </row>
    <row r="291" spans="1:25" x14ac:dyDescent="0.3">
      <c r="A291" s="2" t="s">
        <v>333</v>
      </c>
      <c r="B291" s="2" t="s">
        <v>150</v>
      </c>
      <c r="C291" s="2" t="s">
        <v>143</v>
      </c>
      <c r="D291" s="2" t="s">
        <v>157</v>
      </c>
      <c r="E291" s="2">
        <v>2</v>
      </c>
      <c r="F291" s="2">
        <v>4</v>
      </c>
      <c r="G291" s="2">
        <v>14</v>
      </c>
      <c r="H291" s="2">
        <v>5</v>
      </c>
      <c r="I291" s="3">
        <v>17.09</v>
      </c>
      <c r="J291" s="3">
        <v>11.62</v>
      </c>
      <c r="K291" s="3">
        <v>19</v>
      </c>
      <c r="L291" s="3">
        <v>21</v>
      </c>
      <c r="M291" s="3">
        <v>20.03</v>
      </c>
      <c r="N291" s="3">
        <v>31.6</v>
      </c>
      <c r="O291" s="3">
        <v>65.19</v>
      </c>
      <c r="P291" s="3">
        <v>73.543058880000004</v>
      </c>
      <c r="Q291" s="3">
        <v>19.238113210000002</v>
      </c>
      <c r="R291" s="3">
        <v>64</v>
      </c>
      <c r="S291" s="3">
        <v>113.6679517</v>
      </c>
      <c r="T291" s="3">
        <v>46.457776529999997</v>
      </c>
      <c r="U291" s="3">
        <v>40.1936233809366</v>
      </c>
      <c r="V291" s="3">
        <v>4.5</v>
      </c>
      <c r="W291" s="3">
        <v>27.817060000000001</v>
      </c>
      <c r="X291" s="3">
        <v>50.649568700000003</v>
      </c>
      <c r="Y291" s="3"/>
    </row>
    <row r="292" spans="1:25" x14ac:dyDescent="0.3">
      <c r="A292" s="2" t="s">
        <v>334</v>
      </c>
      <c r="B292" s="2" t="s">
        <v>30</v>
      </c>
      <c r="C292" s="2" t="s">
        <v>31</v>
      </c>
      <c r="D292" s="2" t="s">
        <v>54</v>
      </c>
      <c r="E292" s="2">
        <v>2</v>
      </c>
      <c r="F292" s="2">
        <v>4</v>
      </c>
      <c r="G292" s="2">
        <v>14</v>
      </c>
      <c r="H292" s="2">
        <v>1</v>
      </c>
      <c r="I292" s="3">
        <v>35.47</v>
      </c>
      <c r="J292" s="3">
        <v>12.9</v>
      </c>
      <c r="K292" s="3">
        <v>19</v>
      </c>
      <c r="L292" s="3">
        <v>35</v>
      </c>
      <c r="M292" s="3">
        <v>30.009</v>
      </c>
      <c r="N292" s="3">
        <v>36.700000000000003</v>
      </c>
      <c r="O292" s="3">
        <v>69.569999999999993</v>
      </c>
      <c r="P292" s="3">
        <v>56.650628730000001</v>
      </c>
      <c r="Q292" s="3">
        <v>17.717437740000001</v>
      </c>
      <c r="R292" s="3">
        <v>60.45</v>
      </c>
      <c r="S292" s="3">
        <v>115.9116959</v>
      </c>
      <c r="T292" s="3">
        <v>43.158915649999997</v>
      </c>
      <c r="U292" s="3">
        <v>50.897072710103863</v>
      </c>
      <c r="V292" s="3">
        <v>3</v>
      </c>
      <c r="W292" s="3">
        <v>18.907399999999999</v>
      </c>
      <c r="X292" s="3">
        <v>65.513727720000006</v>
      </c>
      <c r="Y292" s="3"/>
    </row>
    <row r="293" spans="1:25" x14ac:dyDescent="0.3">
      <c r="A293" s="2" t="s">
        <v>335</v>
      </c>
      <c r="B293" s="2" t="s">
        <v>30</v>
      </c>
      <c r="C293" s="2" t="s">
        <v>31</v>
      </c>
      <c r="D293" s="2" t="s">
        <v>54</v>
      </c>
      <c r="E293" s="2">
        <v>2</v>
      </c>
      <c r="F293" s="2">
        <v>4</v>
      </c>
      <c r="G293" s="2">
        <v>14</v>
      </c>
      <c r="H293" s="2">
        <v>2</v>
      </c>
      <c r="I293" s="3">
        <v>28.46</v>
      </c>
      <c r="J293" s="3"/>
      <c r="K293" s="3">
        <v>17</v>
      </c>
      <c r="L293" s="3">
        <v>42</v>
      </c>
      <c r="M293" s="3">
        <v>29.654</v>
      </c>
      <c r="N293" s="3">
        <v>38.6</v>
      </c>
      <c r="O293" s="3">
        <v>67.98</v>
      </c>
      <c r="P293" s="3">
        <v>49.225883070000002</v>
      </c>
      <c r="Q293" s="3">
        <v>20.150761769999999</v>
      </c>
      <c r="R293" s="3">
        <v>50.43</v>
      </c>
      <c r="S293" s="3">
        <v>121.3321857</v>
      </c>
      <c r="T293" s="3">
        <v>39.44206131</v>
      </c>
      <c r="U293" s="3">
        <v>48.871487793643468</v>
      </c>
      <c r="V293" s="3">
        <v>4.5</v>
      </c>
      <c r="W293" s="3">
        <v>14.3916</v>
      </c>
      <c r="X293" s="3">
        <v>59.587080569999998</v>
      </c>
      <c r="Y293" s="3"/>
    </row>
    <row r="294" spans="1:25" x14ac:dyDescent="0.3">
      <c r="A294" s="2" t="s">
        <v>336</v>
      </c>
      <c r="B294" s="2" t="s">
        <v>30</v>
      </c>
      <c r="C294" s="2" t="s">
        <v>31</v>
      </c>
      <c r="D294" s="2" t="s">
        <v>54</v>
      </c>
      <c r="E294" s="2">
        <v>2</v>
      </c>
      <c r="F294" s="2">
        <v>4</v>
      </c>
      <c r="G294" s="2">
        <v>14</v>
      </c>
      <c r="H294" s="2">
        <v>3</v>
      </c>
      <c r="I294" s="3">
        <v>37.51</v>
      </c>
      <c r="J294" s="3">
        <v>12.86</v>
      </c>
      <c r="K294" s="3">
        <v>20</v>
      </c>
      <c r="L294" s="3">
        <v>51</v>
      </c>
      <c r="M294" s="3">
        <v>23.289000000000001</v>
      </c>
      <c r="N294" s="3">
        <v>33.5</v>
      </c>
      <c r="O294" s="3">
        <v>75.599999999999994</v>
      </c>
      <c r="P294" s="3">
        <v>59.212580150000001</v>
      </c>
      <c r="Q294" s="3">
        <v>23.363233139999998</v>
      </c>
      <c r="R294" s="3">
        <v>49.03</v>
      </c>
      <c r="S294" s="3">
        <v>120.4942281</v>
      </c>
      <c r="T294" s="3">
        <v>38.11169374</v>
      </c>
      <c r="U294" s="3">
        <v>47.579792855633059</v>
      </c>
      <c r="V294" s="3">
        <v>5.5</v>
      </c>
      <c r="W294" s="3">
        <v>24.8034</v>
      </c>
      <c r="X294" s="3">
        <v>59.499401130000003</v>
      </c>
      <c r="Y294" s="3"/>
    </row>
    <row r="295" spans="1:25" x14ac:dyDescent="0.3">
      <c r="A295" s="2" t="s">
        <v>337</v>
      </c>
      <c r="B295" s="2" t="s">
        <v>30</v>
      </c>
      <c r="C295" s="2" t="s">
        <v>31</v>
      </c>
      <c r="D295" s="2" t="s">
        <v>54</v>
      </c>
      <c r="E295" s="2">
        <v>2</v>
      </c>
      <c r="F295" s="2">
        <v>4</v>
      </c>
      <c r="G295" s="2">
        <v>14</v>
      </c>
      <c r="H295" s="2">
        <v>4</v>
      </c>
      <c r="I295" s="3">
        <v>25.04</v>
      </c>
      <c r="J295" s="3">
        <v>14.56</v>
      </c>
      <c r="K295" s="3">
        <v>20</v>
      </c>
      <c r="L295" s="3">
        <v>43</v>
      </c>
      <c r="M295" s="3">
        <v>26.516999999999999</v>
      </c>
      <c r="N295" s="3">
        <v>34.799999999999997</v>
      </c>
      <c r="O295" s="3">
        <v>65.260000000000005</v>
      </c>
      <c r="P295" s="3">
        <v>54.038934640000001</v>
      </c>
      <c r="Q295" s="3">
        <v>21.55871286</v>
      </c>
      <c r="R295" s="3">
        <v>55.22</v>
      </c>
      <c r="S295" s="3">
        <v>117.4201535</v>
      </c>
      <c r="T295" s="3">
        <v>41.040893019999999</v>
      </c>
      <c r="U295" s="3">
        <v>54.937207584338829</v>
      </c>
      <c r="V295" s="3">
        <v>6.5</v>
      </c>
      <c r="W295" s="3">
        <v>16.414999999999999</v>
      </c>
      <c r="X295" s="3">
        <v>59.430695900000003</v>
      </c>
      <c r="Y295" s="3"/>
    </row>
    <row r="296" spans="1:25" x14ac:dyDescent="0.3">
      <c r="A296" s="2" t="s">
        <v>338</v>
      </c>
      <c r="B296" s="2" t="s">
        <v>30</v>
      </c>
      <c r="C296" s="2" t="s">
        <v>31</v>
      </c>
      <c r="D296" s="2" t="s">
        <v>54</v>
      </c>
      <c r="E296" s="2">
        <v>2</v>
      </c>
      <c r="F296" s="2">
        <v>4</v>
      </c>
      <c r="G296" s="2">
        <v>14</v>
      </c>
      <c r="H296" s="2">
        <v>5</v>
      </c>
      <c r="I296" s="3">
        <v>26.2</v>
      </c>
      <c r="J296" s="3">
        <v>11.15</v>
      </c>
      <c r="K296" s="3">
        <v>22</v>
      </c>
      <c r="L296" s="3">
        <v>32</v>
      </c>
      <c r="M296" s="3">
        <v>29.247</v>
      </c>
      <c r="N296" s="3">
        <v>38.700000000000003</v>
      </c>
      <c r="O296" s="3">
        <v>66.77</v>
      </c>
      <c r="P296" s="3">
        <v>55.523632020000001</v>
      </c>
      <c r="Q296" s="3">
        <v>21.02234288</v>
      </c>
      <c r="R296" s="3"/>
      <c r="S296" s="3">
        <v>113.8957691</v>
      </c>
      <c r="T296" s="3">
        <v>45.522060590000002</v>
      </c>
      <c r="U296" s="3">
        <v>56.591639871382647</v>
      </c>
      <c r="V296" s="3">
        <v>5.5</v>
      </c>
      <c r="W296" s="3">
        <v>21.694600000000001</v>
      </c>
      <c r="X296" s="3">
        <v>62.6128705</v>
      </c>
      <c r="Y296" s="3"/>
    </row>
    <row r="297" spans="1:25" x14ac:dyDescent="0.3">
      <c r="A297" s="2" t="s">
        <v>339</v>
      </c>
      <c r="B297" s="2" t="s">
        <v>30</v>
      </c>
      <c r="C297" s="2" t="s">
        <v>31</v>
      </c>
      <c r="D297" s="2" t="s">
        <v>61</v>
      </c>
      <c r="E297" s="2">
        <v>2</v>
      </c>
      <c r="F297" s="2">
        <v>4</v>
      </c>
      <c r="G297" s="2">
        <v>14</v>
      </c>
      <c r="H297" s="2">
        <v>1</v>
      </c>
      <c r="I297" s="3">
        <v>45.42</v>
      </c>
      <c r="J297" s="3">
        <v>18.36</v>
      </c>
      <c r="K297" s="3">
        <v>17</v>
      </c>
      <c r="L297" s="3">
        <v>43</v>
      </c>
      <c r="M297" s="3">
        <v>24.09</v>
      </c>
      <c r="N297" s="3">
        <v>43.6</v>
      </c>
      <c r="O297" s="3">
        <v>69.86</v>
      </c>
      <c r="P297" s="3">
        <v>71.973865910000001</v>
      </c>
      <c r="Q297" s="3">
        <v>24.36597012</v>
      </c>
      <c r="R297" s="3">
        <v>60.84</v>
      </c>
      <c r="S297" s="3">
        <v>117.1403724</v>
      </c>
      <c r="T297" s="3">
        <v>46.297887639999999</v>
      </c>
      <c r="U297" s="3">
        <v>47.882122768403001</v>
      </c>
      <c r="V297" s="3">
        <v>8</v>
      </c>
      <c r="W297" s="3">
        <v>19.228999999999999</v>
      </c>
      <c r="X297" s="3">
        <v>49.991860629999998</v>
      </c>
      <c r="Y297" s="3"/>
    </row>
    <row r="298" spans="1:25" x14ac:dyDescent="0.3">
      <c r="A298" s="2" t="s">
        <v>340</v>
      </c>
      <c r="B298" s="2" t="s">
        <v>30</v>
      </c>
      <c r="C298" s="2" t="s">
        <v>31</v>
      </c>
      <c r="D298" s="2" t="s">
        <v>61</v>
      </c>
      <c r="E298" s="2">
        <v>2</v>
      </c>
      <c r="F298" s="2">
        <v>4</v>
      </c>
      <c r="G298" s="2">
        <v>14</v>
      </c>
      <c r="H298" s="2">
        <v>2</v>
      </c>
      <c r="I298" s="3">
        <v>39.85</v>
      </c>
      <c r="J298" s="3">
        <v>14.09</v>
      </c>
      <c r="K298" s="3">
        <v>17</v>
      </c>
      <c r="L298" s="3">
        <v>37</v>
      </c>
      <c r="M298" s="3">
        <v>23.295000000000002</v>
      </c>
      <c r="N298" s="3">
        <v>36.4</v>
      </c>
      <c r="O298" s="3">
        <v>69.930000000000007</v>
      </c>
      <c r="P298" s="3">
        <v>68.939281710000003</v>
      </c>
      <c r="Q298" s="3">
        <v>24.989253690000002</v>
      </c>
      <c r="R298" s="3">
        <v>55.18</v>
      </c>
      <c r="S298" s="3">
        <v>119.0325672</v>
      </c>
      <c r="T298" s="3">
        <v>40.922218899999997</v>
      </c>
      <c r="U298" s="3">
        <v>52.224052718286657</v>
      </c>
      <c r="V298" s="3">
        <v>5.5</v>
      </c>
      <c r="W298" s="3">
        <v>19.791799999999999</v>
      </c>
      <c r="X298" s="3">
        <v>31.703407970000001</v>
      </c>
      <c r="Y298" s="3"/>
    </row>
    <row r="299" spans="1:25" x14ac:dyDescent="0.3">
      <c r="A299" s="2" t="s">
        <v>341</v>
      </c>
      <c r="B299" s="2" t="s">
        <v>30</v>
      </c>
      <c r="C299" s="2" t="s">
        <v>31</v>
      </c>
      <c r="D299" s="2" t="s">
        <v>61</v>
      </c>
      <c r="E299" s="2">
        <v>2</v>
      </c>
      <c r="F299" s="2">
        <v>4</v>
      </c>
      <c r="G299" s="2">
        <v>14</v>
      </c>
      <c r="H299" s="2">
        <v>3</v>
      </c>
      <c r="I299" s="3">
        <v>39.762999999999998</v>
      </c>
      <c r="J299" s="3">
        <v>18.850000000000001</v>
      </c>
      <c r="K299" s="3">
        <v>19</v>
      </c>
      <c r="L299" s="3">
        <v>48</v>
      </c>
      <c r="M299" s="3">
        <v>28.413</v>
      </c>
      <c r="N299" s="3">
        <v>28.1</v>
      </c>
      <c r="O299" s="3">
        <v>70.86</v>
      </c>
      <c r="P299" s="3">
        <v>79.336742349999994</v>
      </c>
      <c r="Q299" s="3">
        <v>19.455960529999999</v>
      </c>
      <c r="R299" s="3">
        <v>49.31</v>
      </c>
      <c r="S299" s="3">
        <v>124.3729732</v>
      </c>
      <c r="T299" s="3">
        <v>31.634027570000001</v>
      </c>
      <c r="U299" s="3">
        <v>44.551341350601298</v>
      </c>
      <c r="V299" s="3">
        <v>5</v>
      </c>
      <c r="W299" s="3">
        <v>18.8538</v>
      </c>
      <c r="X299" s="3">
        <v>38.831291419999999</v>
      </c>
      <c r="Y299" s="3"/>
    </row>
    <row r="300" spans="1:25" x14ac:dyDescent="0.3">
      <c r="A300" s="2" t="s">
        <v>342</v>
      </c>
      <c r="B300" s="2" t="s">
        <v>30</v>
      </c>
      <c r="C300" s="2" t="s">
        <v>31</v>
      </c>
      <c r="D300" s="2" t="s">
        <v>61</v>
      </c>
      <c r="E300" s="2">
        <v>2</v>
      </c>
      <c r="F300" s="2">
        <v>4</v>
      </c>
      <c r="G300" s="2">
        <v>14</v>
      </c>
      <c r="H300" s="2">
        <v>4</v>
      </c>
      <c r="I300" s="3">
        <v>30.32</v>
      </c>
      <c r="J300" s="3">
        <v>18.48</v>
      </c>
      <c r="K300" s="3">
        <v>20</v>
      </c>
      <c r="L300" s="3">
        <v>46</v>
      </c>
      <c r="M300" s="3">
        <v>29.379300000000001</v>
      </c>
      <c r="N300" s="3">
        <v>36.1</v>
      </c>
      <c r="O300" s="3">
        <v>66.91</v>
      </c>
      <c r="P300" s="3">
        <v>75.589713759999995</v>
      </c>
      <c r="Q300" s="3">
        <v>22.3016255</v>
      </c>
      <c r="R300" s="3">
        <v>60.6</v>
      </c>
      <c r="S300" s="3">
        <v>115.92446630000001</v>
      </c>
      <c r="T300" s="3">
        <v>43.619465839999997</v>
      </c>
      <c r="U300" s="3">
        <v>44.496052020436601</v>
      </c>
      <c r="V300" s="3">
        <v>5.5</v>
      </c>
      <c r="W300" s="3">
        <v>18.9878</v>
      </c>
      <c r="X300" s="3">
        <v>42.151306480000002</v>
      </c>
      <c r="Y300" s="3"/>
    </row>
    <row r="301" spans="1:25" x14ac:dyDescent="0.3">
      <c r="A301" s="2" t="s">
        <v>343</v>
      </c>
      <c r="B301" s="2" t="s">
        <v>30</v>
      </c>
      <c r="C301" s="2" t="s">
        <v>31</v>
      </c>
      <c r="D301" s="2" t="s">
        <v>61</v>
      </c>
      <c r="E301" s="2">
        <v>2</v>
      </c>
      <c r="F301" s="2">
        <v>4</v>
      </c>
      <c r="G301" s="2">
        <v>14</v>
      </c>
      <c r="H301" s="2">
        <v>5</v>
      </c>
      <c r="I301" s="3">
        <v>28.78</v>
      </c>
      <c r="J301" s="3">
        <v>16.57</v>
      </c>
      <c r="K301" s="3">
        <v>20</v>
      </c>
      <c r="L301" s="3">
        <v>33</v>
      </c>
      <c r="M301" s="3">
        <v>23.035</v>
      </c>
      <c r="N301" s="3">
        <v>36.200000000000003</v>
      </c>
      <c r="O301" s="3">
        <v>67.09</v>
      </c>
      <c r="P301" s="3">
        <v>71.291912659999994</v>
      </c>
      <c r="Q301" s="3">
        <v>25.222612869999999</v>
      </c>
      <c r="R301" s="3">
        <v>52.11</v>
      </c>
      <c r="S301" s="3">
        <v>121.3668681</v>
      </c>
      <c r="T301" s="3">
        <v>38.73048541</v>
      </c>
      <c r="U301" s="3">
        <v>51.858318782738841</v>
      </c>
      <c r="V301" s="3">
        <v>4</v>
      </c>
      <c r="W301" s="3"/>
      <c r="X301" s="3">
        <v>89.070230039999998</v>
      </c>
      <c r="Y301" s="3"/>
    </row>
    <row r="302" spans="1:25" x14ac:dyDescent="0.3">
      <c r="A302" s="2" t="s">
        <v>344</v>
      </c>
      <c r="B302" s="2" t="s">
        <v>150</v>
      </c>
      <c r="C302" s="2" t="s">
        <v>143</v>
      </c>
      <c r="D302" s="2" t="s">
        <v>151</v>
      </c>
      <c r="E302" s="2">
        <v>2</v>
      </c>
      <c r="F302" s="2">
        <v>4</v>
      </c>
      <c r="G302" s="2">
        <v>14</v>
      </c>
      <c r="H302" s="2">
        <v>1</v>
      </c>
      <c r="I302" s="3">
        <v>21.1</v>
      </c>
      <c r="J302" s="3">
        <v>14.57</v>
      </c>
      <c r="K302" s="3">
        <v>19</v>
      </c>
      <c r="L302" s="3">
        <v>34</v>
      </c>
      <c r="M302" s="3">
        <v>11.159000000000001</v>
      </c>
      <c r="N302" s="3">
        <v>25</v>
      </c>
      <c r="O302" s="3">
        <v>61.7</v>
      </c>
      <c r="P302" s="3">
        <v>81.478657420000005</v>
      </c>
      <c r="Q302" s="3">
        <v>26.522778890000001</v>
      </c>
      <c r="R302" s="3">
        <v>55.35</v>
      </c>
      <c r="S302" s="3">
        <v>116.2945181</v>
      </c>
      <c r="T302" s="3">
        <v>36.027928060000001</v>
      </c>
      <c r="U302" s="3">
        <v>41.506214964660003</v>
      </c>
      <c r="V302" s="3">
        <v>4</v>
      </c>
      <c r="W302" s="3">
        <v>26.237200000000001</v>
      </c>
      <c r="X302" s="3">
        <v>59.911696040000002</v>
      </c>
      <c r="Y302" s="3"/>
    </row>
    <row r="303" spans="1:25" x14ac:dyDescent="0.3">
      <c r="A303" s="2" t="s">
        <v>345</v>
      </c>
      <c r="B303" s="2" t="s">
        <v>150</v>
      </c>
      <c r="C303" s="2" t="s">
        <v>143</v>
      </c>
      <c r="D303" s="2" t="s">
        <v>151</v>
      </c>
      <c r="E303" s="2">
        <v>2</v>
      </c>
      <c r="F303" s="2">
        <v>4</v>
      </c>
      <c r="G303" s="2">
        <v>14</v>
      </c>
      <c r="H303" s="2">
        <v>2</v>
      </c>
      <c r="I303" s="3">
        <v>16.12</v>
      </c>
      <c r="J303" s="3">
        <v>15.18</v>
      </c>
      <c r="K303" s="3">
        <v>18</v>
      </c>
      <c r="L303" s="3">
        <v>43</v>
      </c>
      <c r="M303" s="3">
        <v>10.464</v>
      </c>
      <c r="N303" s="3">
        <v>31.3</v>
      </c>
      <c r="O303" s="3">
        <v>69.64</v>
      </c>
      <c r="P303" s="3">
        <v>88.604312910000004</v>
      </c>
      <c r="Q303" s="3">
        <v>24.637307079999999</v>
      </c>
      <c r="R303" s="3">
        <v>59.9</v>
      </c>
      <c r="S303" s="3">
        <v>116.2619086</v>
      </c>
      <c r="T303" s="3">
        <v>38.917070799999998</v>
      </c>
      <c r="U303" s="3">
        <v>43.0763209393346</v>
      </c>
      <c r="V303" s="3">
        <v>3.5</v>
      </c>
      <c r="W303" s="3">
        <v>22.337800000000001</v>
      </c>
      <c r="X303" s="3">
        <v>61.15617657</v>
      </c>
      <c r="Y303" s="3"/>
    </row>
    <row r="304" spans="1:25" x14ac:dyDescent="0.3">
      <c r="A304" s="2" t="s">
        <v>346</v>
      </c>
      <c r="B304" s="2" t="s">
        <v>150</v>
      </c>
      <c r="C304" s="2" t="s">
        <v>143</v>
      </c>
      <c r="D304" s="2" t="s">
        <v>151</v>
      </c>
      <c r="E304" s="2">
        <v>2</v>
      </c>
      <c r="F304" s="2">
        <v>4</v>
      </c>
      <c r="G304" s="2">
        <v>14</v>
      </c>
      <c r="H304" s="2">
        <v>3</v>
      </c>
      <c r="I304" s="3">
        <v>22.48</v>
      </c>
      <c r="J304" s="3">
        <v>13</v>
      </c>
      <c r="K304" s="3">
        <v>18</v>
      </c>
      <c r="L304" s="3">
        <v>20</v>
      </c>
      <c r="M304" s="3">
        <v>14.28</v>
      </c>
      <c r="N304" s="3">
        <v>32.799999999999997</v>
      </c>
      <c r="O304" s="3">
        <v>58.8</v>
      </c>
      <c r="P304" s="3">
        <v>78.407641240000004</v>
      </c>
      <c r="Q304" s="3">
        <v>28.26656152</v>
      </c>
      <c r="R304" s="3">
        <v>62.71</v>
      </c>
      <c r="S304" s="3">
        <v>115.8069905</v>
      </c>
      <c r="T304" s="3">
        <v>43.620557079999998</v>
      </c>
      <c r="U304" s="3">
        <v>40.918414918414904</v>
      </c>
      <c r="V304" s="3">
        <v>3.5</v>
      </c>
      <c r="W304" s="3">
        <v>26.438200000000009</v>
      </c>
      <c r="X304" s="3">
        <v>59.949248730000001</v>
      </c>
      <c r="Y304" s="3"/>
    </row>
    <row r="305" spans="1:25" x14ac:dyDescent="0.3">
      <c r="A305" s="2" t="s">
        <v>347</v>
      </c>
      <c r="B305" s="2" t="s">
        <v>150</v>
      </c>
      <c r="C305" s="2" t="s">
        <v>143</v>
      </c>
      <c r="D305" s="2" t="s">
        <v>151</v>
      </c>
      <c r="E305" s="2">
        <v>2</v>
      </c>
      <c r="F305" s="2">
        <v>4</v>
      </c>
      <c r="G305" s="2">
        <v>14</v>
      </c>
      <c r="H305" s="2">
        <v>4</v>
      </c>
      <c r="I305" s="3">
        <v>25.4</v>
      </c>
      <c r="J305" s="3">
        <v>12.17</v>
      </c>
      <c r="K305" s="3">
        <v>20</v>
      </c>
      <c r="L305" s="3">
        <v>39</v>
      </c>
      <c r="M305" s="3">
        <v>16.423999999999999</v>
      </c>
      <c r="N305" s="3">
        <v>35.200000000000003</v>
      </c>
      <c r="O305" s="3">
        <v>64.5</v>
      </c>
      <c r="P305" s="3">
        <v>79.701495600000001</v>
      </c>
      <c r="Q305" s="3">
        <v>23.549373660000001</v>
      </c>
      <c r="R305" s="3">
        <v>60.95</v>
      </c>
      <c r="S305" s="3">
        <v>115.9201778</v>
      </c>
      <c r="T305" s="3">
        <v>36.969015400000004</v>
      </c>
      <c r="U305" s="3">
        <v>48.920362201068031</v>
      </c>
      <c r="V305" s="3">
        <v>5</v>
      </c>
      <c r="W305" s="3">
        <v>24.709600000000009</v>
      </c>
      <c r="X305" s="3">
        <v>58.564178470000002</v>
      </c>
      <c r="Y305" s="3"/>
    </row>
    <row r="306" spans="1:25" x14ac:dyDescent="0.3">
      <c r="A306" s="2" t="s">
        <v>348</v>
      </c>
      <c r="B306" s="2" t="s">
        <v>150</v>
      </c>
      <c r="C306" s="2" t="s">
        <v>143</v>
      </c>
      <c r="D306" s="2" t="s">
        <v>151</v>
      </c>
      <c r="E306" s="2">
        <v>2</v>
      </c>
      <c r="F306" s="2">
        <v>4</v>
      </c>
      <c r="G306" s="2">
        <v>14</v>
      </c>
      <c r="H306" s="2">
        <v>5</v>
      </c>
      <c r="I306" s="3">
        <v>25.63</v>
      </c>
      <c r="J306" s="3">
        <v>13.68</v>
      </c>
      <c r="K306" s="3">
        <v>21</v>
      </c>
      <c r="L306" s="3">
        <v>29</v>
      </c>
      <c r="M306" s="3">
        <v>17.463899999999999</v>
      </c>
      <c r="N306" s="3">
        <v>17.399999999999999</v>
      </c>
      <c r="O306" s="3">
        <v>65.23</v>
      </c>
      <c r="P306" s="3">
        <v>83.912640920000001</v>
      </c>
      <c r="Q306" s="3">
        <v>22.25548247</v>
      </c>
      <c r="R306" s="3">
        <v>54.25</v>
      </c>
      <c r="S306" s="3">
        <v>119.7427149</v>
      </c>
      <c r="T306" s="3">
        <v>37.673069959999999</v>
      </c>
      <c r="U306" s="3">
        <v>35.6989247311828</v>
      </c>
      <c r="V306" s="3">
        <v>3.5</v>
      </c>
      <c r="W306" s="3">
        <v>26.545400000000001</v>
      </c>
      <c r="X306" s="3">
        <v>60.976457099999998</v>
      </c>
      <c r="Y306" s="3"/>
    </row>
    <row r="307" spans="1:25" x14ac:dyDescent="0.3">
      <c r="A307" s="2" t="s">
        <v>349</v>
      </c>
      <c r="B307" s="2" t="s">
        <v>150</v>
      </c>
      <c r="C307" s="2" t="s">
        <v>143</v>
      </c>
      <c r="D307" s="2" t="s">
        <v>163</v>
      </c>
      <c r="E307" s="2">
        <v>2</v>
      </c>
      <c r="F307" s="2">
        <v>1</v>
      </c>
      <c r="G307" s="2">
        <v>2</v>
      </c>
      <c r="H307" s="2">
        <v>1</v>
      </c>
      <c r="I307" s="3">
        <v>39.19</v>
      </c>
      <c r="J307" s="3">
        <v>13.23</v>
      </c>
      <c r="K307" s="3">
        <v>24</v>
      </c>
      <c r="L307" s="3">
        <v>55</v>
      </c>
      <c r="M307" s="3">
        <v>16.045999999999999</v>
      </c>
      <c r="N307" s="3">
        <v>36.4</v>
      </c>
      <c r="O307" s="3">
        <v>66.05</v>
      </c>
      <c r="P307" s="3"/>
      <c r="Q307" s="3">
        <v>17.922346390000001</v>
      </c>
      <c r="R307" s="3">
        <v>46.96</v>
      </c>
      <c r="S307" s="3">
        <v>119.0788582</v>
      </c>
      <c r="T307" s="3">
        <v>27.22126007</v>
      </c>
      <c r="U307" s="3">
        <v>93.625498007968119</v>
      </c>
      <c r="V307" s="3">
        <v>4.5</v>
      </c>
      <c r="W307" s="3">
        <v>13.507199999999999</v>
      </c>
      <c r="X307" s="3">
        <v>110.0036461</v>
      </c>
      <c r="Y307" s="3"/>
    </row>
    <row r="308" spans="1:25" x14ac:dyDescent="0.3">
      <c r="A308" s="2" t="s">
        <v>350</v>
      </c>
      <c r="B308" s="2" t="s">
        <v>150</v>
      </c>
      <c r="C308" s="2" t="s">
        <v>143</v>
      </c>
      <c r="D308" s="2" t="s">
        <v>163</v>
      </c>
      <c r="E308" s="2">
        <v>2</v>
      </c>
      <c r="F308" s="2">
        <v>1</v>
      </c>
      <c r="G308" s="2">
        <v>2</v>
      </c>
      <c r="H308" s="2">
        <v>2</v>
      </c>
      <c r="I308" s="3">
        <v>38.549999999999997</v>
      </c>
      <c r="J308" s="3">
        <v>15.73</v>
      </c>
      <c r="K308" s="3">
        <v>23</v>
      </c>
      <c r="L308" s="3">
        <v>51</v>
      </c>
      <c r="M308" s="3">
        <v>7.9168000000000003</v>
      </c>
      <c r="N308" s="3">
        <v>27.4</v>
      </c>
      <c r="O308" s="3">
        <v>58.81</v>
      </c>
      <c r="P308" s="3">
        <v>101.0150108</v>
      </c>
      <c r="Q308" s="3">
        <v>13.34587951</v>
      </c>
      <c r="R308" s="3">
        <v>46.69</v>
      </c>
      <c r="S308" s="3">
        <v>120.4693494</v>
      </c>
      <c r="T308" s="3">
        <v>28.43723791</v>
      </c>
      <c r="U308" s="3">
        <v>91.569767441860463</v>
      </c>
      <c r="V308" s="3">
        <v>3</v>
      </c>
      <c r="W308" s="3">
        <v>24.227200000000011</v>
      </c>
      <c r="X308" s="3">
        <v>121.84156830000001</v>
      </c>
      <c r="Y308" s="3"/>
    </row>
    <row r="309" spans="1:25" x14ac:dyDescent="0.3">
      <c r="A309" s="2" t="s">
        <v>351</v>
      </c>
      <c r="B309" s="2" t="s">
        <v>150</v>
      </c>
      <c r="C309" s="2" t="s">
        <v>143</v>
      </c>
      <c r="D309" s="2" t="s">
        <v>163</v>
      </c>
      <c r="E309" s="2">
        <v>2</v>
      </c>
      <c r="F309" s="2">
        <v>1</v>
      </c>
      <c r="G309" s="2">
        <v>2</v>
      </c>
      <c r="H309" s="2">
        <v>3</v>
      </c>
      <c r="I309" s="3">
        <v>40.659999999999997</v>
      </c>
      <c r="J309" s="3">
        <v>11.22</v>
      </c>
      <c r="K309" s="3">
        <v>24</v>
      </c>
      <c r="L309" s="3">
        <v>50</v>
      </c>
      <c r="M309" s="3">
        <v>4.0526</v>
      </c>
      <c r="N309" s="3">
        <v>49</v>
      </c>
      <c r="O309" s="3">
        <v>66.239999999999995</v>
      </c>
      <c r="P309" s="3">
        <v>106.0743829</v>
      </c>
      <c r="Q309" s="3">
        <v>17.66049263</v>
      </c>
      <c r="R309" s="3">
        <v>42.07</v>
      </c>
      <c r="S309" s="3">
        <v>123.41676339999999</v>
      </c>
      <c r="T309" s="3">
        <v>20.954037799999998</v>
      </c>
      <c r="U309" s="3">
        <v>93.720930232558132</v>
      </c>
      <c r="V309" s="3">
        <v>2.5</v>
      </c>
      <c r="W309" s="3">
        <v>20.984400000000001</v>
      </c>
      <c r="X309" s="3">
        <v>146.04716859999999</v>
      </c>
      <c r="Y309" s="3"/>
    </row>
    <row r="310" spans="1:25" x14ac:dyDescent="0.3">
      <c r="A310" s="2" t="s">
        <v>352</v>
      </c>
      <c r="B310" s="2" t="s">
        <v>150</v>
      </c>
      <c r="C310" s="2" t="s">
        <v>143</v>
      </c>
      <c r="D310" s="2" t="s">
        <v>163</v>
      </c>
      <c r="E310" s="2">
        <v>2</v>
      </c>
      <c r="F310" s="2">
        <v>1</v>
      </c>
      <c r="G310" s="2">
        <v>2</v>
      </c>
      <c r="H310" s="2">
        <v>4</v>
      </c>
      <c r="I310" s="3">
        <v>39.32</v>
      </c>
      <c r="J310" s="3">
        <v>13.94</v>
      </c>
      <c r="K310" s="3">
        <v>23</v>
      </c>
      <c r="L310" s="3">
        <v>49</v>
      </c>
      <c r="M310" s="3">
        <v>7.5469999999999997</v>
      </c>
      <c r="N310" s="3">
        <v>49.7</v>
      </c>
      <c r="O310" s="3">
        <v>73.72</v>
      </c>
      <c r="P310" s="3"/>
      <c r="Q310" s="3"/>
      <c r="R310" s="3">
        <v>44.28</v>
      </c>
      <c r="S310" s="3">
        <v>120.0236992</v>
      </c>
      <c r="T310" s="3">
        <v>27.500067269999999</v>
      </c>
      <c r="U310" s="3">
        <v>94.037940379403778</v>
      </c>
      <c r="V310" s="3">
        <v>3</v>
      </c>
      <c r="W310" s="3"/>
      <c r="X310" s="3">
        <v>119.571764</v>
      </c>
      <c r="Y310" s="3"/>
    </row>
    <row r="311" spans="1:25" x14ac:dyDescent="0.3">
      <c r="A311" s="2" t="s">
        <v>353</v>
      </c>
      <c r="B311" s="2" t="s">
        <v>150</v>
      </c>
      <c r="C311" s="2" t="s">
        <v>143</v>
      </c>
      <c r="D311" s="2" t="s">
        <v>163</v>
      </c>
      <c r="E311" s="2">
        <v>2</v>
      </c>
      <c r="F311" s="2">
        <v>1</v>
      </c>
      <c r="G311" s="2">
        <v>2</v>
      </c>
      <c r="H311" s="2">
        <v>5</v>
      </c>
      <c r="I311" s="3">
        <v>39.25</v>
      </c>
      <c r="J311" s="3">
        <v>11.6</v>
      </c>
      <c r="K311" s="3">
        <v>24</v>
      </c>
      <c r="L311" s="3">
        <v>45</v>
      </c>
      <c r="M311" s="3">
        <v>3.4296000000000002</v>
      </c>
      <c r="N311" s="3">
        <v>42.6</v>
      </c>
      <c r="O311" s="3">
        <v>64.39</v>
      </c>
      <c r="P311" s="3">
        <v>95.715531089999999</v>
      </c>
      <c r="Q311" s="3">
        <v>22.08982571</v>
      </c>
      <c r="R311" s="3">
        <v>45.15</v>
      </c>
      <c r="S311" s="3">
        <v>120.2319158</v>
      </c>
      <c r="T311" s="3">
        <v>25.521069730000001</v>
      </c>
      <c r="U311" s="3">
        <v>94.721407624633429</v>
      </c>
      <c r="V311" s="3">
        <v>3</v>
      </c>
      <c r="W311" s="3">
        <v>17.819320000000001</v>
      </c>
      <c r="X311" s="3">
        <v>114.7488532</v>
      </c>
      <c r="Y311" s="3"/>
    </row>
    <row r="312" spans="1:25" x14ac:dyDescent="0.3">
      <c r="A312" s="2" t="s">
        <v>354</v>
      </c>
      <c r="B312" s="2" t="s">
        <v>30</v>
      </c>
      <c r="C312" s="2" t="s">
        <v>39</v>
      </c>
      <c r="D312" s="2" t="s">
        <v>40</v>
      </c>
      <c r="E312" s="2">
        <v>2</v>
      </c>
      <c r="F312" s="2">
        <v>1</v>
      </c>
      <c r="G312" s="2">
        <v>2</v>
      </c>
      <c r="H312" s="2">
        <v>1</v>
      </c>
      <c r="I312" s="3">
        <v>96.36</v>
      </c>
      <c r="J312" s="3">
        <v>17.79</v>
      </c>
      <c r="K312" s="3">
        <v>27</v>
      </c>
      <c r="L312" s="3">
        <v>55</v>
      </c>
      <c r="M312" s="3">
        <v>13.298999999999999</v>
      </c>
      <c r="N312" s="3">
        <v>53.8</v>
      </c>
      <c r="O312" s="3">
        <v>70.23</v>
      </c>
      <c r="P312" s="3">
        <v>95.347253449999997</v>
      </c>
      <c r="Q312" s="3">
        <v>21.35293188</v>
      </c>
      <c r="R312" s="3">
        <v>41.44</v>
      </c>
      <c r="S312" s="3">
        <v>133.0082208</v>
      </c>
      <c r="T312" s="3">
        <v>16.88883951</v>
      </c>
      <c r="U312" s="3">
        <v>90.692124105011928</v>
      </c>
      <c r="V312" s="3">
        <v>5</v>
      </c>
      <c r="W312" s="3">
        <v>20.167000000000002</v>
      </c>
      <c r="X312" s="3">
        <v>83.197746890000005</v>
      </c>
      <c r="Y312" s="3"/>
    </row>
    <row r="313" spans="1:25" x14ac:dyDescent="0.3">
      <c r="A313" s="2" t="s">
        <v>355</v>
      </c>
      <c r="B313" s="2" t="s">
        <v>30</v>
      </c>
      <c r="C313" s="2" t="s">
        <v>39</v>
      </c>
      <c r="D313" s="2" t="s">
        <v>40</v>
      </c>
      <c r="E313" s="2">
        <v>2</v>
      </c>
      <c r="F313" s="2">
        <v>1</v>
      </c>
      <c r="G313" s="2">
        <v>2</v>
      </c>
      <c r="H313" s="2">
        <v>2</v>
      </c>
      <c r="I313" s="3">
        <v>102.65</v>
      </c>
      <c r="J313" s="3">
        <v>17.21</v>
      </c>
      <c r="K313" s="3">
        <v>27</v>
      </c>
      <c r="L313" s="3">
        <v>50</v>
      </c>
      <c r="M313" s="3">
        <v>13.284000000000001</v>
      </c>
      <c r="N313" s="3">
        <v>51.2</v>
      </c>
      <c r="O313" s="3">
        <v>75.25</v>
      </c>
      <c r="P313" s="3">
        <v>94.264705829999997</v>
      </c>
      <c r="Q313" s="3">
        <v>22.993673040000001</v>
      </c>
      <c r="R313" s="3">
        <v>41.26</v>
      </c>
      <c r="S313" s="3">
        <v>130.43460039999999</v>
      </c>
      <c r="T313" s="3">
        <v>18.301415250000002</v>
      </c>
      <c r="U313" s="3">
        <v>90.797546012269933</v>
      </c>
      <c r="V313" s="3">
        <v>6</v>
      </c>
      <c r="W313" s="3">
        <v>15.477</v>
      </c>
      <c r="X313" s="3">
        <v>72.148323660000003</v>
      </c>
      <c r="Y313" s="3"/>
    </row>
    <row r="314" spans="1:25" x14ac:dyDescent="0.3">
      <c r="A314" s="2" t="s">
        <v>356</v>
      </c>
      <c r="B314" s="2" t="s">
        <v>30</v>
      </c>
      <c r="C314" s="2" t="s">
        <v>39</v>
      </c>
      <c r="D314" s="2" t="s">
        <v>40</v>
      </c>
      <c r="E314" s="2">
        <v>2</v>
      </c>
      <c r="F314" s="2">
        <v>1</v>
      </c>
      <c r="G314" s="2">
        <v>2</v>
      </c>
      <c r="H314" s="2">
        <v>3</v>
      </c>
      <c r="I314" s="3">
        <v>74.05</v>
      </c>
      <c r="J314" s="3">
        <v>16.78</v>
      </c>
      <c r="K314" s="3">
        <v>26</v>
      </c>
      <c r="L314" s="3">
        <v>51</v>
      </c>
      <c r="M314" s="3">
        <v>13.1104</v>
      </c>
      <c r="N314" s="3">
        <v>57.4</v>
      </c>
      <c r="O314" s="3">
        <v>76.37</v>
      </c>
      <c r="P314" s="3">
        <v>101.22128549999999</v>
      </c>
      <c r="Q314" s="3">
        <v>19.06447219</v>
      </c>
      <c r="R314" s="3">
        <v>42.29</v>
      </c>
      <c r="S314" s="3">
        <v>125.0134473</v>
      </c>
      <c r="T314" s="3">
        <v>23.77247358</v>
      </c>
      <c r="U314" s="3">
        <v>88.657844990548213</v>
      </c>
      <c r="V314" s="3">
        <v>6</v>
      </c>
      <c r="W314" s="3">
        <v>25.861999999999998</v>
      </c>
      <c r="X314" s="3">
        <v>100.0138477</v>
      </c>
      <c r="Y314" s="3"/>
    </row>
    <row r="315" spans="1:25" x14ac:dyDescent="0.3">
      <c r="A315" s="2" t="s">
        <v>357</v>
      </c>
      <c r="B315" s="2" t="s">
        <v>30</v>
      </c>
      <c r="C315" s="2" t="s">
        <v>39</v>
      </c>
      <c r="D315" s="2" t="s">
        <v>40</v>
      </c>
      <c r="E315" s="2">
        <v>2</v>
      </c>
      <c r="F315" s="2">
        <v>1</v>
      </c>
      <c r="G315" s="2">
        <v>2</v>
      </c>
      <c r="H315" s="2">
        <v>4</v>
      </c>
      <c r="I315" s="3">
        <v>82.18</v>
      </c>
      <c r="J315" s="3">
        <v>18</v>
      </c>
      <c r="K315" s="3">
        <v>28</v>
      </c>
      <c r="L315" s="3">
        <v>49</v>
      </c>
      <c r="M315" s="3">
        <v>12.718</v>
      </c>
      <c r="N315" s="3">
        <v>56.2</v>
      </c>
      <c r="O315" s="3">
        <v>71.239999999999995</v>
      </c>
      <c r="P315" s="3">
        <v>95.43798151</v>
      </c>
      <c r="Q315" s="3">
        <v>25.534932940000001</v>
      </c>
      <c r="R315" s="3">
        <v>40.86</v>
      </c>
      <c r="S315" s="3">
        <v>127.7788856</v>
      </c>
      <c r="T315" s="3">
        <v>19.408444039999999</v>
      </c>
      <c r="U315" s="3">
        <v>91.213389121338921</v>
      </c>
      <c r="V315" s="3">
        <v>6</v>
      </c>
      <c r="W315" s="3">
        <v>7.8524000000000012</v>
      </c>
      <c r="X315" s="3">
        <v>93.805992090000004</v>
      </c>
      <c r="Y315" s="3"/>
    </row>
    <row r="316" spans="1:25" x14ac:dyDescent="0.3">
      <c r="A316" s="2" t="s">
        <v>358</v>
      </c>
      <c r="B316" s="2" t="s">
        <v>30</v>
      </c>
      <c r="C316" s="2" t="s">
        <v>39</v>
      </c>
      <c r="D316" s="2" t="s">
        <v>40</v>
      </c>
      <c r="E316" s="2">
        <v>2</v>
      </c>
      <c r="F316" s="2">
        <v>1</v>
      </c>
      <c r="G316" s="2">
        <v>2</v>
      </c>
      <c r="H316" s="2">
        <v>5</v>
      </c>
      <c r="I316" s="3">
        <v>69.7</v>
      </c>
      <c r="J316" s="3">
        <v>18</v>
      </c>
      <c r="K316" s="3">
        <v>26</v>
      </c>
      <c r="L316" s="3">
        <v>50</v>
      </c>
      <c r="M316" s="3">
        <v>12.289</v>
      </c>
      <c r="N316" s="3">
        <v>42.1</v>
      </c>
      <c r="O316" s="3">
        <v>78.73</v>
      </c>
      <c r="P316" s="3">
        <v>90.926585889999998</v>
      </c>
      <c r="Q316" s="3">
        <v>23.493073450000001</v>
      </c>
      <c r="R316" s="3">
        <v>44.73</v>
      </c>
      <c r="S316" s="3">
        <v>124.6536519</v>
      </c>
      <c r="T316" s="3">
        <v>23.741754360000002</v>
      </c>
      <c r="U316" s="3">
        <v>90.909090909090907</v>
      </c>
      <c r="V316" s="3">
        <v>5</v>
      </c>
      <c r="W316" s="3">
        <v>22.7532</v>
      </c>
      <c r="X316" s="3">
        <v>106.7676261</v>
      </c>
      <c r="Y316" s="3"/>
    </row>
    <row r="317" spans="1:25" x14ac:dyDescent="0.3">
      <c r="A317" s="2" t="s">
        <v>359</v>
      </c>
      <c r="B317" s="2" t="s">
        <v>30</v>
      </c>
      <c r="C317" s="2" t="s">
        <v>31</v>
      </c>
      <c r="D317" s="2" t="s">
        <v>32</v>
      </c>
      <c r="E317" s="2">
        <v>2</v>
      </c>
      <c r="F317" s="2">
        <v>1</v>
      </c>
      <c r="G317" s="2">
        <v>2</v>
      </c>
      <c r="H317" s="2">
        <v>1</v>
      </c>
      <c r="I317" s="3">
        <v>41.29</v>
      </c>
      <c r="J317" s="3">
        <v>14.48</v>
      </c>
      <c r="K317" s="3">
        <v>26</v>
      </c>
      <c r="L317" s="3">
        <v>55</v>
      </c>
      <c r="M317" s="3">
        <v>14.504</v>
      </c>
      <c r="N317" s="3">
        <v>41.4</v>
      </c>
      <c r="O317" s="3">
        <v>71.42</v>
      </c>
      <c r="P317" s="3">
        <v>95.944077190000002</v>
      </c>
      <c r="Q317" s="3">
        <v>23.17460895</v>
      </c>
      <c r="R317" s="3">
        <v>48.92</v>
      </c>
      <c r="S317" s="3">
        <v>123.9350932</v>
      </c>
      <c r="T317" s="3">
        <v>27.85452566</v>
      </c>
      <c r="U317" s="3">
        <v>86.60508083140877</v>
      </c>
      <c r="V317" s="3">
        <v>4.5</v>
      </c>
      <c r="W317" s="3">
        <v>9.2593999999999976</v>
      </c>
      <c r="X317" s="3">
        <v>226.12981199999999</v>
      </c>
      <c r="Y317" s="3"/>
    </row>
    <row r="318" spans="1:25" x14ac:dyDescent="0.3">
      <c r="A318" s="2" t="s">
        <v>360</v>
      </c>
      <c r="B318" s="2" t="s">
        <v>30</v>
      </c>
      <c r="C318" s="2" t="s">
        <v>31</v>
      </c>
      <c r="D318" s="2" t="s">
        <v>32</v>
      </c>
      <c r="E318" s="2">
        <v>2</v>
      </c>
      <c r="F318" s="2">
        <v>1</v>
      </c>
      <c r="G318" s="2">
        <v>2</v>
      </c>
      <c r="H318" s="2">
        <v>2</v>
      </c>
      <c r="I318" s="3">
        <v>50.34</v>
      </c>
      <c r="J318" s="3">
        <v>15.41</v>
      </c>
      <c r="K318" s="3">
        <v>24</v>
      </c>
      <c r="L318" s="3">
        <v>50</v>
      </c>
      <c r="M318" s="3">
        <v>8.8478999999999992</v>
      </c>
      <c r="N318" s="3">
        <v>50</v>
      </c>
      <c r="O318" s="3">
        <v>75.150000000000006</v>
      </c>
      <c r="P318" s="3">
        <v>92.684069160000007</v>
      </c>
      <c r="Q318" s="3">
        <v>17.509211860000001</v>
      </c>
      <c r="R318" s="3">
        <v>47.27</v>
      </c>
      <c r="S318" s="3">
        <v>121.15295570000001</v>
      </c>
      <c r="T318" s="3">
        <v>30.07758634</v>
      </c>
      <c r="U318" s="3">
        <v>88.366336633663366</v>
      </c>
      <c r="V318" s="3">
        <v>8.5</v>
      </c>
      <c r="W318" s="3">
        <v>13.69614</v>
      </c>
      <c r="X318" s="3">
        <v>81.001845700000004</v>
      </c>
      <c r="Y318" s="3"/>
    </row>
    <row r="319" spans="1:25" x14ac:dyDescent="0.3">
      <c r="A319" s="2" t="s">
        <v>361</v>
      </c>
      <c r="B319" s="2" t="s">
        <v>30</v>
      </c>
      <c r="C319" s="2" t="s">
        <v>31</v>
      </c>
      <c r="D319" s="2" t="s">
        <v>32</v>
      </c>
      <c r="E319" s="2">
        <v>2</v>
      </c>
      <c r="F319" s="2">
        <v>1</v>
      </c>
      <c r="G319" s="2">
        <v>2</v>
      </c>
      <c r="H319" s="2">
        <v>3</v>
      </c>
      <c r="I319" s="3">
        <v>36.729999999999997</v>
      </c>
      <c r="J319" s="3">
        <v>18.82</v>
      </c>
      <c r="K319" s="3">
        <v>25</v>
      </c>
      <c r="L319" s="3">
        <v>58</v>
      </c>
      <c r="M319" s="3">
        <v>5.1470000000000002</v>
      </c>
      <c r="N319" s="3">
        <v>48</v>
      </c>
      <c r="O319" s="3">
        <v>73.39</v>
      </c>
      <c r="P319" s="3">
        <v>91.672800580000001</v>
      </c>
      <c r="Q319" s="3">
        <v>20.208614499999999</v>
      </c>
      <c r="R319" s="3">
        <v>45.44</v>
      </c>
      <c r="S319" s="3">
        <v>124.48899400000001</v>
      </c>
      <c r="T319" s="3">
        <v>21.47453376</v>
      </c>
      <c r="U319" s="3">
        <v>88.771186440677965</v>
      </c>
      <c r="V319" s="3">
        <v>5</v>
      </c>
      <c r="W319" s="3">
        <v>16.4284</v>
      </c>
      <c r="X319" s="3">
        <v>121.5974404</v>
      </c>
      <c r="Y319" s="3"/>
    </row>
    <row r="320" spans="1:25" x14ac:dyDescent="0.3">
      <c r="A320" s="2" t="s">
        <v>362</v>
      </c>
      <c r="B320" s="2" t="s">
        <v>30</v>
      </c>
      <c r="C320" s="2" t="s">
        <v>31</v>
      </c>
      <c r="D320" s="2" t="s">
        <v>32</v>
      </c>
      <c r="E320" s="2">
        <v>2</v>
      </c>
      <c r="F320" s="2">
        <v>1</v>
      </c>
      <c r="G320" s="2">
        <v>2</v>
      </c>
      <c r="H320" s="2">
        <v>4</v>
      </c>
      <c r="I320" s="3">
        <v>39.76</v>
      </c>
      <c r="J320" s="3">
        <v>17.399999999999999</v>
      </c>
      <c r="K320" s="3">
        <v>24</v>
      </c>
      <c r="L320" s="3">
        <v>48</v>
      </c>
      <c r="M320" s="3">
        <v>17.257000000000001</v>
      </c>
      <c r="N320" s="3">
        <v>47.3</v>
      </c>
      <c r="O320" s="3">
        <v>73.400000000000006</v>
      </c>
      <c r="P320" s="3">
        <v>96.240654599999999</v>
      </c>
      <c r="Q320" s="3">
        <v>17.201944659999999</v>
      </c>
      <c r="R320" s="3">
        <v>48.18</v>
      </c>
      <c r="S320" s="3">
        <v>118.78700739999999</v>
      </c>
      <c r="T320" s="3">
        <v>33.10081117</v>
      </c>
      <c r="U320" s="3">
        <v>89.119170984455963</v>
      </c>
      <c r="V320" s="3">
        <v>3.5</v>
      </c>
      <c r="W320" s="3">
        <v>13.373200000000001</v>
      </c>
      <c r="X320" s="3">
        <v>107.1986974</v>
      </c>
      <c r="Y320" s="3"/>
    </row>
    <row r="321" spans="1:25" x14ac:dyDescent="0.3">
      <c r="A321" s="2" t="s">
        <v>363</v>
      </c>
      <c r="B321" s="2" t="s">
        <v>30</v>
      </c>
      <c r="C321" s="2" t="s">
        <v>31</v>
      </c>
      <c r="D321" s="2" t="s">
        <v>32</v>
      </c>
      <c r="E321" s="2">
        <v>2</v>
      </c>
      <c r="F321" s="2">
        <v>1</v>
      </c>
      <c r="G321" s="2">
        <v>2</v>
      </c>
      <c r="H321" s="2">
        <v>5</v>
      </c>
      <c r="I321" s="3">
        <v>35.4</v>
      </c>
      <c r="J321" s="3">
        <v>19.239999999999998</v>
      </c>
      <c r="K321" s="3">
        <v>26</v>
      </c>
      <c r="L321" s="3">
        <v>45</v>
      </c>
      <c r="M321" s="3">
        <v>18.763000000000002</v>
      </c>
      <c r="N321" s="3">
        <v>43.3</v>
      </c>
      <c r="O321" s="3">
        <v>78.8</v>
      </c>
      <c r="P321" s="3">
        <v>97.828422000000003</v>
      </c>
      <c r="Q321" s="3">
        <v>16.665323279999999</v>
      </c>
      <c r="R321" s="3">
        <v>43.93</v>
      </c>
      <c r="S321" s="3">
        <v>124.60186330000001</v>
      </c>
      <c r="T321" s="3">
        <v>21.43078393</v>
      </c>
      <c r="U321" s="3">
        <v>88.785046728971963</v>
      </c>
      <c r="V321" s="3">
        <v>8</v>
      </c>
      <c r="W321" s="3">
        <v>19.2424</v>
      </c>
      <c r="X321" s="3">
        <v>129.27614109999999</v>
      </c>
      <c r="Y321" s="3"/>
    </row>
    <row r="322" spans="1:25" x14ac:dyDescent="0.3">
      <c r="A322" s="2" t="s">
        <v>364</v>
      </c>
      <c r="B322" s="2" t="s">
        <v>30</v>
      </c>
      <c r="C322" s="2" t="s">
        <v>143</v>
      </c>
      <c r="D322" s="2" t="s">
        <v>144</v>
      </c>
      <c r="E322" s="2">
        <v>2</v>
      </c>
      <c r="F322" s="2">
        <v>1</v>
      </c>
      <c r="G322" s="2">
        <v>2</v>
      </c>
      <c r="H322" s="2">
        <v>1</v>
      </c>
      <c r="I322" s="3">
        <v>40.520000000000003</v>
      </c>
      <c r="J322" s="3">
        <v>18.47</v>
      </c>
      <c r="K322" s="3">
        <v>25</v>
      </c>
      <c r="L322" s="3">
        <v>49</v>
      </c>
      <c r="M322" s="3">
        <v>9.81</v>
      </c>
      <c r="N322" s="3">
        <v>43.4</v>
      </c>
      <c r="O322" s="3">
        <v>80.900000000000006</v>
      </c>
      <c r="P322" s="3">
        <v>110.36462625</v>
      </c>
      <c r="Q322" s="3">
        <v>23.092338560000002</v>
      </c>
      <c r="R322" s="3">
        <v>48.3</v>
      </c>
      <c r="S322" s="3">
        <v>122.6837944</v>
      </c>
      <c r="T322" s="3">
        <v>30.962590330000001</v>
      </c>
      <c r="U322" s="3">
        <v>86.744639376218331</v>
      </c>
      <c r="V322" s="3">
        <v>4.5</v>
      </c>
      <c r="W322" s="3">
        <v>12.8506</v>
      </c>
      <c r="X322" s="3">
        <v>103.7591687</v>
      </c>
      <c r="Y322" s="3"/>
    </row>
    <row r="323" spans="1:25" x14ac:dyDescent="0.3">
      <c r="A323" s="2" t="s">
        <v>365</v>
      </c>
      <c r="B323" s="2" t="s">
        <v>30</v>
      </c>
      <c r="C323" s="2" t="s">
        <v>143</v>
      </c>
      <c r="D323" s="2" t="s">
        <v>144</v>
      </c>
      <c r="E323" s="2">
        <v>2</v>
      </c>
      <c r="F323" s="2">
        <v>1</v>
      </c>
      <c r="G323" s="2">
        <v>2</v>
      </c>
      <c r="H323" s="2">
        <v>2</v>
      </c>
      <c r="I323" s="3">
        <v>34.659999999999997</v>
      </c>
      <c r="J323" s="3">
        <v>17.170000000000002</v>
      </c>
      <c r="K323" s="3">
        <v>23</v>
      </c>
      <c r="L323" s="3">
        <v>59</v>
      </c>
      <c r="M323" s="3">
        <v>9.3949999999999996</v>
      </c>
      <c r="N323" s="3">
        <v>37</v>
      </c>
      <c r="O323" s="3">
        <v>79.25</v>
      </c>
      <c r="P323" s="3">
        <v>106.61064359</v>
      </c>
      <c r="Q323" s="3">
        <v>14.87292843</v>
      </c>
      <c r="R323" s="3">
        <v>44.11</v>
      </c>
      <c r="S323" s="3">
        <v>121.2852286</v>
      </c>
      <c r="T323" s="3">
        <v>21.682908019999999</v>
      </c>
      <c r="U323" s="3">
        <v>88.823529411764696</v>
      </c>
      <c r="V323" s="3">
        <v>5.5</v>
      </c>
      <c r="W323" s="3">
        <v>16.093399999999999</v>
      </c>
      <c r="X323" s="3">
        <v>122.0440656</v>
      </c>
      <c r="Y323" s="3"/>
    </row>
    <row r="324" spans="1:25" x14ac:dyDescent="0.3">
      <c r="A324" s="2" t="s">
        <v>366</v>
      </c>
      <c r="B324" s="2" t="s">
        <v>30</v>
      </c>
      <c r="C324" s="2" t="s">
        <v>143</v>
      </c>
      <c r="D324" s="2" t="s">
        <v>144</v>
      </c>
      <c r="E324" s="2">
        <v>2</v>
      </c>
      <c r="F324" s="2">
        <v>1</v>
      </c>
      <c r="G324" s="2">
        <v>2</v>
      </c>
      <c r="H324" s="2">
        <v>3</v>
      </c>
      <c r="I324" s="3">
        <v>49.42</v>
      </c>
      <c r="J324" s="3">
        <v>16.45</v>
      </c>
      <c r="K324" s="3">
        <v>25</v>
      </c>
      <c r="L324" s="3">
        <v>62</v>
      </c>
      <c r="M324" s="3">
        <v>11.847</v>
      </c>
      <c r="N324" s="3">
        <v>49.6</v>
      </c>
      <c r="O324" s="3">
        <v>72.92</v>
      </c>
      <c r="P324" s="3">
        <v>104.97204926000001</v>
      </c>
      <c r="Q324" s="3">
        <v>19.613811460000001</v>
      </c>
      <c r="R324" s="3">
        <v>49.63</v>
      </c>
      <c r="S324" s="3">
        <v>120.1982904</v>
      </c>
      <c r="T324" s="3">
        <v>28.509037159999998</v>
      </c>
      <c r="U324" s="3">
        <v>87.041036717062653</v>
      </c>
      <c r="V324" s="3">
        <v>4.5</v>
      </c>
      <c r="W324" s="3">
        <v>14.244199999999999</v>
      </c>
      <c r="X324" s="3">
        <v>77.744989029999999</v>
      </c>
      <c r="Y324" s="3"/>
    </row>
    <row r="325" spans="1:25" x14ac:dyDescent="0.3">
      <c r="A325" s="2" t="s">
        <v>367</v>
      </c>
      <c r="B325" s="2" t="s">
        <v>30</v>
      </c>
      <c r="C325" s="2" t="s">
        <v>143</v>
      </c>
      <c r="D325" s="2" t="s">
        <v>144</v>
      </c>
      <c r="E325" s="2">
        <v>2</v>
      </c>
      <c r="F325" s="2">
        <v>1</v>
      </c>
      <c r="G325" s="2">
        <v>2</v>
      </c>
      <c r="H325" s="2">
        <v>4</v>
      </c>
      <c r="I325" s="3">
        <v>48.46</v>
      </c>
      <c r="J325" s="3">
        <v>16.45</v>
      </c>
      <c r="K325" s="3">
        <v>22</v>
      </c>
      <c r="L325" s="3">
        <v>54</v>
      </c>
      <c r="M325" s="3">
        <v>9.0679999999999996</v>
      </c>
      <c r="N325" s="3">
        <v>46.7</v>
      </c>
      <c r="O325" s="3">
        <v>73.59</v>
      </c>
      <c r="P325" s="3">
        <v>106.32508933</v>
      </c>
      <c r="Q325" s="3">
        <v>30.751704019999998</v>
      </c>
      <c r="R325" s="3">
        <v>50.57</v>
      </c>
      <c r="S325" s="3">
        <v>111.8817596</v>
      </c>
      <c r="T325" s="3">
        <v>27.716913609999999</v>
      </c>
      <c r="U325" s="3">
        <v>88.675213675213669</v>
      </c>
      <c r="V325" s="3">
        <v>6</v>
      </c>
      <c r="W325" s="3">
        <v>18.425000000000001</v>
      </c>
      <c r="X325" s="3">
        <v>81.311722290000006</v>
      </c>
      <c r="Y325" s="3"/>
    </row>
    <row r="326" spans="1:25" x14ac:dyDescent="0.3">
      <c r="A326" s="2" t="s">
        <v>368</v>
      </c>
      <c r="B326" s="2" t="s">
        <v>30</v>
      </c>
      <c r="C326" s="2" t="s">
        <v>143</v>
      </c>
      <c r="D326" s="2" t="s">
        <v>144</v>
      </c>
      <c r="E326" s="2">
        <v>2</v>
      </c>
      <c r="F326" s="2">
        <v>1</v>
      </c>
      <c r="G326" s="2">
        <v>2</v>
      </c>
      <c r="H326" s="2">
        <v>5</v>
      </c>
      <c r="I326" s="3">
        <v>48.46</v>
      </c>
      <c r="J326" s="3">
        <v>15.02</v>
      </c>
      <c r="K326" s="3">
        <v>21</v>
      </c>
      <c r="L326" s="3">
        <v>56</v>
      </c>
      <c r="M326" s="3">
        <v>9.6516000000000002</v>
      </c>
      <c r="N326" s="3">
        <v>45.1</v>
      </c>
      <c r="O326" s="3">
        <v>72.98</v>
      </c>
      <c r="P326" s="3">
        <v>108.76339686999999</v>
      </c>
      <c r="Q326" s="3">
        <v>14.964708480000001</v>
      </c>
      <c r="R326" s="3">
        <v>47.67</v>
      </c>
      <c r="S326" s="3">
        <v>119.95742970000001</v>
      </c>
      <c r="T326" s="3">
        <v>28.716719869999999</v>
      </c>
      <c r="U326" s="3">
        <v>88.513513513513516</v>
      </c>
      <c r="V326" s="3">
        <v>6.5</v>
      </c>
      <c r="W326" s="3">
        <v>13.828799999999999</v>
      </c>
      <c r="X326" s="3">
        <v>91.276774029999999</v>
      </c>
      <c r="Y326" s="3"/>
    </row>
    <row r="327" spans="1:25" x14ac:dyDescent="0.3">
      <c r="A327" s="2" t="s">
        <v>369</v>
      </c>
      <c r="B327" s="2" t="s">
        <v>30</v>
      </c>
      <c r="C327" s="2" t="s">
        <v>39</v>
      </c>
      <c r="D327" s="2" t="s">
        <v>47</v>
      </c>
      <c r="E327" s="2">
        <v>2</v>
      </c>
      <c r="F327" s="2">
        <v>1</v>
      </c>
      <c r="G327" s="2">
        <v>2</v>
      </c>
      <c r="H327" s="2">
        <v>1</v>
      </c>
      <c r="I327" s="3">
        <v>94.04</v>
      </c>
      <c r="J327" s="3">
        <v>23.02</v>
      </c>
      <c r="K327" s="3">
        <v>25</v>
      </c>
      <c r="L327" s="3">
        <v>60</v>
      </c>
      <c r="M327" s="3">
        <v>5.5829000000000004</v>
      </c>
      <c r="N327" s="3">
        <v>52.3</v>
      </c>
      <c r="O327" s="3">
        <v>69.849999999999994</v>
      </c>
      <c r="P327" s="3">
        <v>95.257838989999996</v>
      </c>
      <c r="Q327" s="3">
        <v>13.858315190000001</v>
      </c>
      <c r="R327" s="3">
        <v>39.020000000000003</v>
      </c>
      <c r="S327" s="3">
        <v>128.5350914</v>
      </c>
      <c r="T327" s="3">
        <v>22.295418810000001</v>
      </c>
      <c r="U327" s="3">
        <v>91.682785299806582</v>
      </c>
      <c r="V327" s="3">
        <v>4.5</v>
      </c>
      <c r="W327" s="3">
        <v>12.5692</v>
      </c>
      <c r="X327" s="3">
        <v>95.673587179999998</v>
      </c>
      <c r="Y327" s="3"/>
    </row>
    <row r="328" spans="1:25" x14ac:dyDescent="0.3">
      <c r="A328" s="2" t="s">
        <v>370</v>
      </c>
      <c r="B328" s="2" t="s">
        <v>30</v>
      </c>
      <c r="C328" s="2" t="s">
        <v>39</v>
      </c>
      <c r="D328" s="2" t="s">
        <v>47</v>
      </c>
      <c r="E328" s="2">
        <v>2</v>
      </c>
      <c r="F328" s="2">
        <v>1</v>
      </c>
      <c r="G328" s="2">
        <v>2</v>
      </c>
      <c r="H328" s="2">
        <v>2</v>
      </c>
      <c r="I328" s="3">
        <v>82.36</v>
      </c>
      <c r="J328" s="3">
        <v>20.27</v>
      </c>
      <c r="K328" s="3">
        <v>24</v>
      </c>
      <c r="L328" s="3">
        <v>47</v>
      </c>
      <c r="M328" s="3">
        <v>5.1630000000000003</v>
      </c>
      <c r="N328" s="3">
        <v>45.6</v>
      </c>
      <c r="O328" s="3">
        <v>68.099999999999994</v>
      </c>
      <c r="P328" s="3"/>
      <c r="Q328" s="3"/>
      <c r="R328" s="3">
        <v>47.61</v>
      </c>
      <c r="S328" s="3">
        <v>119.02918819999999</v>
      </c>
      <c r="T328" s="3">
        <v>30.993734849999999</v>
      </c>
      <c r="U328" s="3">
        <v>90.641247833622188</v>
      </c>
      <c r="V328" s="3">
        <v>4</v>
      </c>
      <c r="W328" s="3">
        <v>15.611000000000001</v>
      </c>
      <c r="X328" s="3">
        <v>94.816968470000006</v>
      </c>
      <c r="Y328" s="3"/>
    </row>
    <row r="329" spans="1:25" x14ac:dyDescent="0.3">
      <c r="A329" s="2" t="s">
        <v>371</v>
      </c>
      <c r="B329" s="2" t="s">
        <v>30</v>
      </c>
      <c r="C329" s="2" t="s">
        <v>39</v>
      </c>
      <c r="D329" s="2" t="s">
        <v>47</v>
      </c>
      <c r="E329" s="2">
        <v>2</v>
      </c>
      <c r="F329" s="2">
        <v>1</v>
      </c>
      <c r="G329" s="2">
        <v>2</v>
      </c>
      <c r="H329" s="2">
        <v>3</v>
      </c>
      <c r="I329" s="3">
        <v>57.76</v>
      </c>
      <c r="J329" s="3">
        <v>21.15</v>
      </c>
      <c r="K329" s="3">
        <v>26</v>
      </c>
      <c r="L329" s="3">
        <v>45</v>
      </c>
      <c r="M329" s="3">
        <v>6.3379000000000003</v>
      </c>
      <c r="N329" s="3">
        <v>50.9</v>
      </c>
      <c r="O329" s="3">
        <v>68.569999999999993</v>
      </c>
      <c r="P329" s="3">
        <v>99.882573969999996</v>
      </c>
      <c r="Q329" s="3">
        <v>12.992801849999999</v>
      </c>
      <c r="R329" s="3">
        <v>45.47</v>
      </c>
      <c r="S329" s="3">
        <v>124.7559447</v>
      </c>
      <c r="T329" s="3">
        <v>29.662181310000001</v>
      </c>
      <c r="U329" s="3">
        <v>90.601503759398497</v>
      </c>
      <c r="V329" s="3">
        <v>4.5</v>
      </c>
      <c r="W329" s="3">
        <v>13.118600000000001</v>
      </c>
      <c r="X329" s="3">
        <v>76.285441899999995</v>
      </c>
      <c r="Y329" s="3"/>
    </row>
    <row r="330" spans="1:25" x14ac:dyDescent="0.3">
      <c r="A330" s="2" t="s">
        <v>372</v>
      </c>
      <c r="B330" s="2" t="s">
        <v>30</v>
      </c>
      <c r="C330" s="2" t="s">
        <v>39</v>
      </c>
      <c r="D330" s="2" t="s">
        <v>47</v>
      </c>
      <c r="E330" s="2">
        <v>2</v>
      </c>
      <c r="F330" s="2">
        <v>1</v>
      </c>
      <c r="G330" s="2">
        <v>2</v>
      </c>
      <c r="H330" s="2">
        <v>4</v>
      </c>
      <c r="I330" s="3">
        <v>72.28</v>
      </c>
      <c r="J330" s="3">
        <v>20.54</v>
      </c>
      <c r="K330" s="3">
        <v>27</v>
      </c>
      <c r="L330" s="3">
        <v>51</v>
      </c>
      <c r="M330" s="3">
        <v>6.7363999999999997</v>
      </c>
      <c r="N330" s="3">
        <v>48.3</v>
      </c>
      <c r="O330" s="3">
        <v>79.540000000000006</v>
      </c>
      <c r="P330" s="3">
        <v>103.0963199</v>
      </c>
      <c r="Q330" s="3">
        <v>13.90158624</v>
      </c>
      <c r="R330" s="3">
        <v>49.08</v>
      </c>
      <c r="S330" s="3">
        <v>120.315674</v>
      </c>
      <c r="T330" s="3">
        <v>30.489252199999999</v>
      </c>
      <c r="U330" s="3">
        <v>91.254752851711032</v>
      </c>
      <c r="V330" s="3">
        <v>4.5</v>
      </c>
      <c r="W330" s="3">
        <v>12.663</v>
      </c>
      <c r="X330" s="3">
        <v>64.613519229999994</v>
      </c>
      <c r="Y330" s="3"/>
    </row>
    <row r="331" spans="1:25" x14ac:dyDescent="0.3">
      <c r="A331" s="2" t="s">
        <v>373</v>
      </c>
      <c r="B331" s="2" t="s">
        <v>30</v>
      </c>
      <c r="C331" s="2" t="s">
        <v>39</v>
      </c>
      <c r="D331" s="2" t="s">
        <v>47</v>
      </c>
      <c r="E331" s="2">
        <v>2</v>
      </c>
      <c r="F331" s="2">
        <v>1</v>
      </c>
      <c r="G331" s="2">
        <v>2</v>
      </c>
      <c r="H331" s="2">
        <v>5</v>
      </c>
      <c r="I331" s="3">
        <v>66.650000000000006</v>
      </c>
      <c r="J331" s="3">
        <v>19.2</v>
      </c>
      <c r="K331" s="3">
        <v>28</v>
      </c>
      <c r="L331" s="3">
        <v>60</v>
      </c>
      <c r="M331" s="3">
        <v>5.9821999999999997</v>
      </c>
      <c r="N331" s="3"/>
      <c r="O331" s="3">
        <v>77.03</v>
      </c>
      <c r="P331" s="3">
        <v>101.7358217</v>
      </c>
      <c r="Q331" s="3">
        <v>11.602551439999999</v>
      </c>
      <c r="R331" s="3">
        <v>42.69</v>
      </c>
      <c r="S331" s="3">
        <v>120.4178173</v>
      </c>
      <c r="T331" s="3">
        <v>24.49110859</v>
      </c>
      <c r="U331" s="3">
        <v>92.904656319290453</v>
      </c>
      <c r="V331" s="3">
        <v>4</v>
      </c>
      <c r="W331" s="3">
        <v>13.333</v>
      </c>
      <c r="X331" s="3">
        <v>85.577512619999993</v>
      </c>
      <c r="Y331" s="3"/>
    </row>
    <row r="332" spans="1:25" x14ac:dyDescent="0.3">
      <c r="A332" s="2" t="s">
        <v>374</v>
      </c>
      <c r="B332" s="2" t="s">
        <v>150</v>
      </c>
      <c r="C332" s="2" t="s">
        <v>143</v>
      </c>
      <c r="D332" s="2" t="s">
        <v>163</v>
      </c>
      <c r="E332" s="2">
        <v>2</v>
      </c>
      <c r="F332" s="2">
        <v>2</v>
      </c>
      <c r="G332" s="2">
        <v>6</v>
      </c>
      <c r="H332" s="2">
        <v>1</v>
      </c>
      <c r="I332" s="3">
        <v>48.99</v>
      </c>
      <c r="J332" s="3">
        <v>14</v>
      </c>
      <c r="K332" s="3">
        <v>24</v>
      </c>
      <c r="L332" s="3">
        <v>54</v>
      </c>
      <c r="M332" s="3">
        <v>12.4785</v>
      </c>
      <c r="N332" s="3">
        <v>34.700000000000003</v>
      </c>
      <c r="O332" s="3">
        <v>72.34</v>
      </c>
      <c r="P332" s="3">
        <v>102.0104044</v>
      </c>
      <c r="Q332" s="3">
        <v>14.272438470000001</v>
      </c>
      <c r="R332" s="3">
        <v>53.58</v>
      </c>
      <c r="S332" s="3">
        <v>112.4488616</v>
      </c>
      <c r="T332" s="3">
        <v>30.717828699999998</v>
      </c>
      <c r="U332" s="3">
        <v>89.759036144578317</v>
      </c>
      <c r="V332" s="3">
        <v>3</v>
      </c>
      <c r="W332" s="3">
        <v>13.2258</v>
      </c>
      <c r="X332" s="3">
        <v>52.407576730000002</v>
      </c>
      <c r="Y332" s="3"/>
    </row>
    <row r="333" spans="1:25" x14ac:dyDescent="0.3">
      <c r="A333" s="2" t="s">
        <v>375</v>
      </c>
      <c r="B333" s="2" t="s">
        <v>150</v>
      </c>
      <c r="C333" s="2" t="s">
        <v>143</v>
      </c>
      <c r="D333" s="2" t="s">
        <v>163</v>
      </c>
      <c r="E333" s="2">
        <v>2</v>
      </c>
      <c r="F333" s="2">
        <v>2</v>
      </c>
      <c r="G333" s="2">
        <v>6</v>
      </c>
      <c r="H333" s="2">
        <v>2</v>
      </c>
      <c r="I333" s="3">
        <v>34.75</v>
      </c>
      <c r="J333" s="3">
        <v>14.11</v>
      </c>
      <c r="K333" s="3">
        <v>24</v>
      </c>
      <c r="L333" s="3">
        <v>58</v>
      </c>
      <c r="M333" s="3">
        <v>9.1331000000000007</v>
      </c>
      <c r="N333" s="3">
        <v>27.3</v>
      </c>
      <c r="O333" s="3">
        <v>70</v>
      </c>
      <c r="P333" s="3">
        <v>103.92292740000001</v>
      </c>
      <c r="Q333" s="3">
        <v>8.6027553730000008</v>
      </c>
      <c r="R333" s="3">
        <v>45.73</v>
      </c>
      <c r="S333" s="3">
        <v>118.85246979999999</v>
      </c>
      <c r="T333" s="3">
        <v>28.120842799999998</v>
      </c>
      <c r="U333" s="3">
        <v>88.372093023255815</v>
      </c>
      <c r="V333" s="3">
        <v>4</v>
      </c>
      <c r="W333" s="3">
        <v>17.553999999999998</v>
      </c>
      <c r="X333" s="3">
        <v>88.619338560000003</v>
      </c>
      <c r="Y333" s="3"/>
    </row>
    <row r="334" spans="1:25" x14ac:dyDescent="0.3">
      <c r="A334" s="2" t="s">
        <v>376</v>
      </c>
      <c r="B334" s="2" t="s">
        <v>150</v>
      </c>
      <c r="C334" s="2" t="s">
        <v>143</v>
      </c>
      <c r="D334" s="2" t="s">
        <v>163</v>
      </c>
      <c r="E334" s="2">
        <v>2</v>
      </c>
      <c r="F334" s="2">
        <v>2</v>
      </c>
      <c r="G334" s="2">
        <v>6</v>
      </c>
      <c r="H334" s="2">
        <v>3</v>
      </c>
      <c r="I334" s="3">
        <v>34.159999999999997</v>
      </c>
      <c r="J334" s="3"/>
      <c r="K334" s="3">
        <v>22</v>
      </c>
      <c r="L334" s="3">
        <v>49</v>
      </c>
      <c r="M334" s="3">
        <v>16.672999999999998</v>
      </c>
      <c r="N334" s="3">
        <v>21</v>
      </c>
      <c r="O334" s="3">
        <v>70.58</v>
      </c>
      <c r="P334" s="3">
        <v>105.14739369999999</v>
      </c>
      <c r="Q334" s="3">
        <v>21.507254589999999</v>
      </c>
      <c r="R334" s="3">
        <v>48.55</v>
      </c>
      <c r="S334" s="3">
        <v>118.65245640000001</v>
      </c>
      <c r="T334" s="3">
        <v>29.953310330000001</v>
      </c>
      <c r="U334" s="3">
        <v>92.873051224944319</v>
      </c>
      <c r="V334" s="3">
        <v>3</v>
      </c>
      <c r="W334" s="3">
        <v>16.013000000000009</v>
      </c>
      <c r="X334" s="3">
        <v>83.982241239999993</v>
      </c>
      <c r="Y334" s="3"/>
    </row>
    <row r="335" spans="1:25" x14ac:dyDescent="0.3">
      <c r="A335" s="2" t="s">
        <v>377</v>
      </c>
      <c r="B335" s="2" t="s">
        <v>150</v>
      </c>
      <c r="C335" s="2" t="s">
        <v>143</v>
      </c>
      <c r="D335" s="2" t="s">
        <v>163</v>
      </c>
      <c r="E335" s="2">
        <v>2</v>
      </c>
      <c r="F335" s="2">
        <v>2</v>
      </c>
      <c r="G335" s="2">
        <v>6</v>
      </c>
      <c r="H335" s="2">
        <v>4</v>
      </c>
      <c r="I335" s="3">
        <v>36.94</v>
      </c>
      <c r="J335" s="3">
        <v>17.55</v>
      </c>
      <c r="K335" s="3">
        <v>24</v>
      </c>
      <c r="L335" s="3">
        <v>50</v>
      </c>
      <c r="M335" s="3">
        <v>13.619300000000001</v>
      </c>
      <c r="N335" s="3">
        <v>21.6</v>
      </c>
      <c r="O335" s="3">
        <v>70.48</v>
      </c>
      <c r="P335" s="3">
        <v>104.1942981</v>
      </c>
      <c r="Q335" s="3">
        <v>16.679238590000001</v>
      </c>
      <c r="R335" s="3">
        <v>48.2</v>
      </c>
      <c r="S335" s="3">
        <v>115.8994615</v>
      </c>
      <c r="T335" s="3">
        <v>30.425992180000001</v>
      </c>
      <c r="U335" s="3">
        <v>86.318407960199011</v>
      </c>
      <c r="V335" s="3">
        <v>3.5</v>
      </c>
      <c r="W335" s="3">
        <v>17.687999999999999</v>
      </c>
      <c r="X335" s="3">
        <v>78.583758860000003</v>
      </c>
      <c r="Y335" s="3"/>
    </row>
    <row r="336" spans="1:25" x14ac:dyDescent="0.3">
      <c r="A336" s="2" t="s">
        <v>378</v>
      </c>
      <c r="B336" s="2" t="s">
        <v>150</v>
      </c>
      <c r="C336" s="2" t="s">
        <v>143</v>
      </c>
      <c r="D336" s="2" t="s">
        <v>163</v>
      </c>
      <c r="E336" s="2">
        <v>2</v>
      </c>
      <c r="F336" s="2">
        <v>2</v>
      </c>
      <c r="G336" s="2">
        <v>6</v>
      </c>
      <c r="H336" s="2">
        <v>5</v>
      </c>
      <c r="I336" s="3">
        <v>31.7</v>
      </c>
      <c r="J336" s="3">
        <v>15.86</v>
      </c>
      <c r="K336" s="3">
        <v>24</v>
      </c>
      <c r="L336" s="3">
        <v>55</v>
      </c>
      <c r="M336" s="3">
        <v>5.6702000000000004</v>
      </c>
      <c r="N336" s="3">
        <v>37.5</v>
      </c>
      <c r="O336" s="3">
        <v>72.47</v>
      </c>
      <c r="P336" s="3">
        <v>103.3710902</v>
      </c>
      <c r="Q336" s="3">
        <v>18.80990431</v>
      </c>
      <c r="R336" s="3">
        <v>52.29</v>
      </c>
      <c r="S336" s="3">
        <v>114.145774</v>
      </c>
      <c r="T336" s="3">
        <v>36.131278690000002</v>
      </c>
      <c r="U336" s="3">
        <v>76.266666666666666</v>
      </c>
      <c r="V336" s="3">
        <v>4</v>
      </c>
      <c r="W336" s="3">
        <v>18.679600000000001</v>
      </c>
      <c r="X336" s="3">
        <v>96.693633320000004</v>
      </c>
      <c r="Y336" s="3"/>
    </row>
    <row r="337" spans="1:25" x14ac:dyDescent="0.3">
      <c r="A337" s="2" t="s">
        <v>379</v>
      </c>
      <c r="B337" s="2" t="s">
        <v>30</v>
      </c>
      <c r="C337" s="2" t="s">
        <v>39</v>
      </c>
      <c r="D337" s="2" t="s">
        <v>40</v>
      </c>
      <c r="E337" s="2">
        <v>2</v>
      </c>
      <c r="F337" s="2">
        <v>2</v>
      </c>
      <c r="G337" s="2">
        <v>6</v>
      </c>
      <c r="H337" s="2">
        <v>1</v>
      </c>
      <c r="I337" s="3">
        <v>59.37</v>
      </c>
      <c r="J337" s="3">
        <v>16.399999999999999</v>
      </c>
      <c r="K337" s="3">
        <v>25</v>
      </c>
      <c r="L337" s="3">
        <v>50</v>
      </c>
      <c r="M337" s="3">
        <v>15.23</v>
      </c>
      <c r="N337" s="3">
        <v>53.7</v>
      </c>
      <c r="O337" s="3">
        <v>78.760000000000005</v>
      </c>
      <c r="P337" s="3">
        <v>103.5756074</v>
      </c>
      <c r="Q337" s="3">
        <v>17.18636669</v>
      </c>
      <c r="R337" s="3">
        <v>47.36</v>
      </c>
      <c r="S337" s="3">
        <v>119.7159606</v>
      </c>
      <c r="T337" s="3">
        <v>24.813151749999999</v>
      </c>
      <c r="U337" s="3">
        <v>89.189189189189193</v>
      </c>
      <c r="V337" s="3">
        <v>4.5</v>
      </c>
      <c r="W337" s="3">
        <v>13.212400000000001</v>
      </c>
      <c r="X337" s="3">
        <v>53.45776232</v>
      </c>
      <c r="Y337" s="3"/>
    </row>
    <row r="338" spans="1:25" x14ac:dyDescent="0.3">
      <c r="A338" s="2" t="s">
        <v>380</v>
      </c>
      <c r="B338" s="2" t="s">
        <v>30</v>
      </c>
      <c r="C338" s="2" t="s">
        <v>39</v>
      </c>
      <c r="D338" s="2" t="s">
        <v>40</v>
      </c>
      <c r="E338" s="2">
        <v>2</v>
      </c>
      <c r="F338" s="2">
        <v>2</v>
      </c>
      <c r="G338" s="2">
        <v>6</v>
      </c>
      <c r="H338" s="2">
        <v>2</v>
      </c>
      <c r="I338" s="3">
        <v>47.44</v>
      </c>
      <c r="J338" s="3">
        <v>17.260000000000002</v>
      </c>
      <c r="K338" s="3">
        <v>25</v>
      </c>
      <c r="L338" s="3">
        <v>46</v>
      </c>
      <c r="M338" s="3">
        <v>14.5334</v>
      </c>
      <c r="N338" s="3">
        <v>46.3</v>
      </c>
      <c r="O338" s="3">
        <v>73.69</v>
      </c>
      <c r="P338" s="3">
        <v>108.3719399</v>
      </c>
      <c r="Q338" s="3">
        <v>17.43580618</v>
      </c>
      <c r="R338" s="3">
        <v>44.96</v>
      </c>
      <c r="S338" s="3">
        <v>121.6798441</v>
      </c>
      <c r="T338" s="3">
        <v>28.942648460000001</v>
      </c>
      <c r="U338" s="3">
        <v>90.615835777126108</v>
      </c>
      <c r="V338" s="3">
        <v>5</v>
      </c>
      <c r="W338" s="3">
        <v>18.4116</v>
      </c>
      <c r="X338" s="3">
        <v>92.381680029999998</v>
      </c>
      <c r="Y338" s="3"/>
    </row>
    <row r="339" spans="1:25" x14ac:dyDescent="0.3">
      <c r="A339" s="2" t="s">
        <v>381</v>
      </c>
      <c r="B339" s="2" t="s">
        <v>30</v>
      </c>
      <c r="C339" s="2" t="s">
        <v>39</v>
      </c>
      <c r="D339" s="2" t="s">
        <v>40</v>
      </c>
      <c r="E339" s="2">
        <v>2</v>
      </c>
      <c r="F339" s="2">
        <v>2</v>
      </c>
      <c r="G339" s="2">
        <v>6</v>
      </c>
      <c r="H339" s="2">
        <v>3</v>
      </c>
      <c r="I339" s="3">
        <v>46.06</v>
      </c>
      <c r="J339" s="3">
        <v>14.42</v>
      </c>
      <c r="K339" s="3">
        <v>24</v>
      </c>
      <c r="L339" s="3">
        <v>49</v>
      </c>
      <c r="M339" s="3">
        <v>13.750999999999999</v>
      </c>
      <c r="N339" s="3">
        <v>54.1</v>
      </c>
      <c r="O339" s="3">
        <v>78.739999999999995</v>
      </c>
      <c r="P339" s="3">
        <v>103.991203</v>
      </c>
      <c r="Q339" s="3">
        <v>18.408126370000002</v>
      </c>
      <c r="R339" s="3">
        <v>42.44</v>
      </c>
      <c r="S339" s="3">
        <v>128.59225900000001</v>
      </c>
      <c r="T339" s="3">
        <v>22.620223249999999</v>
      </c>
      <c r="U339" s="3">
        <v>89.23512747875354</v>
      </c>
      <c r="V339" s="3">
        <v>5.5</v>
      </c>
      <c r="W339" s="3">
        <v>23.543800000000001</v>
      </c>
      <c r="X339" s="3">
        <v>106.256209</v>
      </c>
      <c r="Y339" s="3"/>
    </row>
    <row r="340" spans="1:25" x14ac:dyDescent="0.3">
      <c r="A340" s="2" t="s">
        <v>382</v>
      </c>
      <c r="B340" s="2" t="s">
        <v>30</v>
      </c>
      <c r="C340" s="2" t="s">
        <v>39</v>
      </c>
      <c r="D340" s="2" t="s">
        <v>40</v>
      </c>
      <c r="E340" s="2">
        <v>2</v>
      </c>
      <c r="F340" s="2">
        <v>2</v>
      </c>
      <c r="G340" s="2">
        <v>6</v>
      </c>
      <c r="H340" s="2">
        <v>4</v>
      </c>
      <c r="I340" s="3">
        <v>52.02</v>
      </c>
      <c r="J340" s="3">
        <v>16</v>
      </c>
      <c r="K340" s="3">
        <v>23</v>
      </c>
      <c r="L340" s="3">
        <v>53</v>
      </c>
      <c r="M340" s="3">
        <v>14.074299999999999</v>
      </c>
      <c r="N340" s="3">
        <v>46.8</v>
      </c>
      <c r="O340" s="3">
        <v>77.06</v>
      </c>
      <c r="P340" s="3">
        <v>102.9357555</v>
      </c>
      <c r="Q340" s="3">
        <v>18.314816409999999</v>
      </c>
      <c r="R340" s="3">
        <v>43.52</v>
      </c>
      <c r="S340" s="3">
        <v>127.212542</v>
      </c>
      <c r="T340" s="3">
        <v>24.058430950000002</v>
      </c>
      <c r="U340" s="3">
        <v>90.517241379310349</v>
      </c>
      <c r="V340" s="3">
        <v>5</v>
      </c>
      <c r="W340" s="3">
        <v>17.996200000000002</v>
      </c>
      <c r="X340" s="3">
        <v>82.533479720000003</v>
      </c>
      <c r="Y340" s="3"/>
    </row>
    <row r="341" spans="1:25" x14ac:dyDescent="0.3">
      <c r="A341" s="2" t="s">
        <v>383</v>
      </c>
      <c r="B341" s="2" t="s">
        <v>30</v>
      </c>
      <c r="C341" s="2" t="s">
        <v>39</v>
      </c>
      <c r="D341" s="2" t="s">
        <v>40</v>
      </c>
      <c r="E341" s="2">
        <v>2</v>
      </c>
      <c r="F341" s="2">
        <v>2</v>
      </c>
      <c r="G341" s="2">
        <v>6</v>
      </c>
      <c r="H341" s="2">
        <v>5</v>
      </c>
      <c r="I341" s="3">
        <v>44.37</v>
      </c>
      <c r="J341" s="3">
        <v>16.98</v>
      </c>
      <c r="K341" s="3">
        <v>22</v>
      </c>
      <c r="L341" s="3">
        <v>49</v>
      </c>
      <c r="M341" s="3">
        <v>15.78</v>
      </c>
      <c r="N341" s="3">
        <v>50.9</v>
      </c>
      <c r="O341" s="3">
        <v>72.069999999999993</v>
      </c>
      <c r="P341" s="3">
        <v>97.248620729999999</v>
      </c>
      <c r="Q341" s="3">
        <v>16.643019559999999</v>
      </c>
      <c r="R341" s="3">
        <v>45.12</v>
      </c>
      <c r="S341" s="3">
        <v>124.917276</v>
      </c>
      <c r="T341" s="3">
        <v>29.000834470000001</v>
      </c>
      <c r="U341" s="3">
        <v>89.542483660130728</v>
      </c>
      <c r="V341" s="3">
        <v>6</v>
      </c>
      <c r="W341" s="3">
        <v>18.9208</v>
      </c>
      <c r="X341" s="3">
        <v>72.178954540000007</v>
      </c>
      <c r="Y341" s="3"/>
    </row>
    <row r="342" spans="1:25" x14ac:dyDescent="0.3">
      <c r="A342" s="2" t="s">
        <v>384</v>
      </c>
      <c r="B342" s="2" t="s">
        <v>30</v>
      </c>
      <c r="C342" s="2" t="s">
        <v>31</v>
      </c>
      <c r="D342" s="2" t="s">
        <v>32</v>
      </c>
      <c r="E342" s="2">
        <v>2</v>
      </c>
      <c r="F342" s="2">
        <v>2</v>
      </c>
      <c r="G342" s="2">
        <v>6</v>
      </c>
      <c r="H342" s="2">
        <v>1</v>
      </c>
      <c r="I342" s="3">
        <v>38.92</v>
      </c>
      <c r="J342" s="3">
        <v>14.81</v>
      </c>
      <c r="K342" s="3">
        <v>24</v>
      </c>
      <c r="L342" s="3">
        <v>50</v>
      </c>
      <c r="M342" s="3">
        <v>8.4323999999999995</v>
      </c>
      <c r="N342" s="3">
        <v>47.2</v>
      </c>
      <c r="O342" s="3">
        <v>71.12</v>
      </c>
      <c r="P342" s="3">
        <v>89.103840320000003</v>
      </c>
      <c r="Q342" s="3">
        <v>23.02281477</v>
      </c>
      <c r="R342" s="3">
        <v>52.85</v>
      </c>
      <c r="S342" s="3">
        <v>123.799952</v>
      </c>
      <c r="T342" s="3">
        <v>30.289460210000001</v>
      </c>
      <c r="U342" s="3">
        <v>89.999999999999986</v>
      </c>
      <c r="V342" s="3">
        <v>2.5</v>
      </c>
      <c r="W342" s="3">
        <v>21.66780000000001</v>
      </c>
      <c r="X342" s="3">
        <v>68.749573249999997</v>
      </c>
      <c r="Y342" s="3"/>
    </row>
    <row r="343" spans="1:25" x14ac:dyDescent="0.3">
      <c r="A343" s="2" t="s">
        <v>385</v>
      </c>
      <c r="B343" s="2" t="s">
        <v>30</v>
      </c>
      <c r="C343" s="2" t="s">
        <v>31</v>
      </c>
      <c r="D343" s="2" t="s">
        <v>32</v>
      </c>
      <c r="E343" s="2">
        <v>2</v>
      </c>
      <c r="F343" s="2">
        <v>2</v>
      </c>
      <c r="G343" s="2">
        <v>6</v>
      </c>
      <c r="H343" s="2">
        <v>2</v>
      </c>
      <c r="I343" s="3">
        <v>49.74</v>
      </c>
      <c r="J343" s="3">
        <v>16.27</v>
      </c>
      <c r="K343" s="3">
        <v>22</v>
      </c>
      <c r="L343" s="3">
        <v>45</v>
      </c>
      <c r="M343" s="3">
        <v>9.6402999999999999</v>
      </c>
      <c r="N343" s="3">
        <v>49.2</v>
      </c>
      <c r="O343" s="3">
        <v>77.430000000000007</v>
      </c>
      <c r="P343" s="3">
        <v>110.4375671</v>
      </c>
      <c r="Q343" s="3">
        <v>14.748386350000001</v>
      </c>
      <c r="R343" s="3">
        <v>46.69</v>
      </c>
      <c r="S343" s="3">
        <v>127.4961383</v>
      </c>
      <c r="T343" s="3">
        <v>24.691476260000002</v>
      </c>
      <c r="U343" s="3">
        <v>88.716814159292028</v>
      </c>
      <c r="V343" s="3">
        <v>7.5</v>
      </c>
      <c r="W343" s="3">
        <v>20.877200000000009</v>
      </c>
      <c r="X343" s="3">
        <v>57.458880980000004</v>
      </c>
      <c r="Y343" s="3"/>
    </row>
    <row r="344" spans="1:25" x14ac:dyDescent="0.3">
      <c r="A344" s="2" t="s">
        <v>386</v>
      </c>
      <c r="B344" s="2" t="s">
        <v>30</v>
      </c>
      <c r="C344" s="2" t="s">
        <v>31</v>
      </c>
      <c r="D344" s="2" t="s">
        <v>32</v>
      </c>
      <c r="E344" s="2">
        <v>2</v>
      </c>
      <c r="F344" s="2">
        <v>2</v>
      </c>
      <c r="G344" s="2">
        <v>6</v>
      </c>
      <c r="H344" s="2">
        <v>3</v>
      </c>
      <c r="I344" s="3">
        <v>40.86</v>
      </c>
      <c r="J344" s="3">
        <v>13.82</v>
      </c>
      <c r="K344" s="3">
        <v>25</v>
      </c>
      <c r="L344" s="3">
        <v>49</v>
      </c>
      <c r="M344" s="3">
        <v>13.196</v>
      </c>
      <c r="N344" s="3">
        <v>39.799999999999997</v>
      </c>
      <c r="O344" s="3">
        <v>70.88</v>
      </c>
      <c r="P344" s="3">
        <v>105.3238619</v>
      </c>
      <c r="Q344" s="3">
        <v>16.654355410000001</v>
      </c>
      <c r="R344" s="3">
        <v>48.83</v>
      </c>
      <c r="S344" s="3">
        <v>124.83762489999999</v>
      </c>
      <c r="T344" s="3">
        <v>25.89028003</v>
      </c>
      <c r="U344" s="3">
        <v>89.65517241379311</v>
      </c>
      <c r="V344" s="3">
        <v>7</v>
      </c>
      <c r="W344" s="3">
        <v>23.3428</v>
      </c>
      <c r="X344" s="3">
        <v>67.050994230000001</v>
      </c>
      <c r="Y344" s="3"/>
    </row>
    <row r="345" spans="1:25" x14ac:dyDescent="0.3">
      <c r="A345" s="2" t="s">
        <v>387</v>
      </c>
      <c r="B345" s="2" t="s">
        <v>30</v>
      </c>
      <c r="C345" s="2" t="s">
        <v>31</v>
      </c>
      <c r="D345" s="2" t="s">
        <v>32</v>
      </c>
      <c r="E345" s="2">
        <v>2</v>
      </c>
      <c r="F345" s="2">
        <v>2</v>
      </c>
      <c r="G345" s="2">
        <v>6</v>
      </c>
      <c r="H345" s="2">
        <v>4</v>
      </c>
      <c r="I345" s="3">
        <v>34.83</v>
      </c>
      <c r="J345" s="3">
        <v>16.420000000000002</v>
      </c>
      <c r="K345" s="3">
        <v>24</v>
      </c>
      <c r="L345" s="3">
        <v>50</v>
      </c>
      <c r="M345" s="3">
        <v>11.784000000000001</v>
      </c>
      <c r="N345" s="3">
        <v>42.2</v>
      </c>
      <c r="O345" s="3">
        <v>80.52</v>
      </c>
      <c r="P345" s="3">
        <v>107.558868</v>
      </c>
      <c r="Q345" s="3">
        <v>16.999083299999999</v>
      </c>
      <c r="R345" s="3">
        <v>49.63</v>
      </c>
      <c r="S345" s="3">
        <v>124.6191742</v>
      </c>
      <c r="T345" s="3">
        <v>28.726155330000001</v>
      </c>
      <c r="U345" s="3">
        <v>87.33031674208145</v>
      </c>
      <c r="V345" s="3">
        <v>5.5</v>
      </c>
      <c r="W345" s="3">
        <v>24.709600000000009</v>
      </c>
      <c r="X345" s="3">
        <v>88.009645579999997</v>
      </c>
      <c r="Y345" s="3"/>
    </row>
    <row r="346" spans="1:25" x14ac:dyDescent="0.3">
      <c r="A346" s="2" t="s">
        <v>388</v>
      </c>
      <c r="B346" s="2" t="s">
        <v>30</v>
      </c>
      <c r="C346" s="2" t="s">
        <v>31</v>
      </c>
      <c r="D346" s="2" t="s">
        <v>32</v>
      </c>
      <c r="E346" s="2">
        <v>2</v>
      </c>
      <c r="F346" s="2">
        <v>2</v>
      </c>
      <c r="G346" s="2">
        <v>6</v>
      </c>
      <c r="H346" s="2">
        <v>5</v>
      </c>
      <c r="I346" s="3">
        <v>37.909999999999997</v>
      </c>
      <c r="J346" s="3">
        <v>20.94</v>
      </c>
      <c r="K346" s="3">
        <v>24</v>
      </c>
      <c r="L346" s="3">
        <v>48</v>
      </c>
      <c r="M346" s="3">
        <v>21.946999999999999</v>
      </c>
      <c r="N346" s="3">
        <v>51.5</v>
      </c>
      <c r="O346" s="3">
        <v>70.930000000000007</v>
      </c>
      <c r="P346" s="3">
        <v>94.965089739999996</v>
      </c>
      <c r="Q346" s="3">
        <v>22.41411386</v>
      </c>
      <c r="R346" s="3">
        <v>49.59</v>
      </c>
      <c r="S346" s="3">
        <v>122.99565250000001</v>
      </c>
      <c r="T346" s="3">
        <v>31.822712020000001</v>
      </c>
      <c r="U346" s="3">
        <v>89.10891089108911</v>
      </c>
      <c r="V346" s="3">
        <v>7</v>
      </c>
      <c r="W346" s="3">
        <v>19.550599999999999</v>
      </c>
      <c r="X346" s="3"/>
      <c r="Y346" s="3"/>
    </row>
    <row r="347" spans="1:25" x14ac:dyDescent="0.3">
      <c r="A347" s="2" t="s">
        <v>389</v>
      </c>
      <c r="B347" s="2" t="s">
        <v>30</v>
      </c>
      <c r="C347" s="2" t="s">
        <v>143</v>
      </c>
      <c r="D347" s="2" t="s">
        <v>144</v>
      </c>
      <c r="E347" s="2">
        <v>2</v>
      </c>
      <c r="F347" s="2">
        <v>2</v>
      </c>
      <c r="G347" s="2">
        <v>6</v>
      </c>
      <c r="H347" s="2">
        <v>1</v>
      </c>
      <c r="I347" s="3">
        <v>40.22</v>
      </c>
      <c r="J347" s="3">
        <v>18.7</v>
      </c>
      <c r="K347" s="3">
        <v>22</v>
      </c>
      <c r="L347" s="3">
        <v>50</v>
      </c>
      <c r="M347" s="3"/>
      <c r="N347" s="3">
        <v>30.9</v>
      </c>
      <c r="O347" s="3">
        <v>75.13</v>
      </c>
      <c r="P347" s="3">
        <v>103.9849619</v>
      </c>
      <c r="Q347" s="3">
        <v>13.61353003</v>
      </c>
      <c r="R347" s="3">
        <v>53.84</v>
      </c>
      <c r="S347" s="3">
        <v>116.2150948</v>
      </c>
      <c r="T347" s="3">
        <v>33.707116460000002</v>
      </c>
      <c r="U347" s="3">
        <v>76.875</v>
      </c>
      <c r="V347" s="3">
        <v>6</v>
      </c>
      <c r="W347" s="3">
        <v>22.833600000000001</v>
      </c>
      <c r="X347" s="3">
        <v>82.75466213</v>
      </c>
      <c r="Y347" s="3"/>
    </row>
    <row r="348" spans="1:25" x14ac:dyDescent="0.3">
      <c r="A348" s="2" t="s">
        <v>390</v>
      </c>
      <c r="B348" s="2" t="s">
        <v>30</v>
      </c>
      <c r="C348" s="2" t="s">
        <v>143</v>
      </c>
      <c r="D348" s="2" t="s">
        <v>144</v>
      </c>
      <c r="E348" s="2">
        <v>2</v>
      </c>
      <c r="F348" s="2">
        <v>2</v>
      </c>
      <c r="G348" s="2">
        <v>6</v>
      </c>
      <c r="H348" s="2">
        <v>2</v>
      </c>
      <c r="I348" s="3">
        <v>39.770000000000003</v>
      </c>
      <c r="J348" s="3">
        <v>15</v>
      </c>
      <c r="K348" s="3">
        <v>25</v>
      </c>
      <c r="L348" s="3">
        <v>59</v>
      </c>
      <c r="M348" s="3"/>
      <c r="N348" s="3">
        <v>42.6</v>
      </c>
      <c r="O348" s="3">
        <v>78.16</v>
      </c>
      <c r="P348" s="3">
        <v>97.67425111</v>
      </c>
      <c r="Q348" s="3">
        <v>18.495669759999998</v>
      </c>
      <c r="R348" s="3">
        <v>51.35</v>
      </c>
      <c r="S348" s="3"/>
      <c r="T348" s="3">
        <v>28.637559249999999</v>
      </c>
      <c r="U348" s="3">
        <v>89.939637826961771</v>
      </c>
      <c r="V348" s="3">
        <v>8</v>
      </c>
      <c r="W348" s="3">
        <v>21.98940000000001</v>
      </c>
      <c r="X348" s="3">
        <v>55.052726970000002</v>
      </c>
      <c r="Y348" s="3"/>
    </row>
    <row r="349" spans="1:25" x14ac:dyDescent="0.3">
      <c r="A349" s="2" t="s">
        <v>391</v>
      </c>
      <c r="B349" s="2" t="s">
        <v>30</v>
      </c>
      <c r="C349" s="2" t="s">
        <v>143</v>
      </c>
      <c r="D349" s="2" t="s">
        <v>144</v>
      </c>
      <c r="E349" s="2">
        <v>2</v>
      </c>
      <c r="F349" s="2">
        <v>2</v>
      </c>
      <c r="G349" s="2">
        <v>6</v>
      </c>
      <c r="H349" s="2">
        <v>3</v>
      </c>
      <c r="I349" s="3">
        <v>41.94</v>
      </c>
      <c r="J349" s="3">
        <v>15</v>
      </c>
      <c r="K349" s="3">
        <v>25</v>
      </c>
      <c r="L349" s="3">
        <v>58</v>
      </c>
      <c r="M349" s="3">
        <v>9.5213000000000001</v>
      </c>
      <c r="N349" s="3">
        <v>45</v>
      </c>
      <c r="O349" s="3">
        <v>78.88</v>
      </c>
      <c r="P349" s="3">
        <v>103.1176083</v>
      </c>
      <c r="Q349" s="3">
        <v>18.500091300000001</v>
      </c>
      <c r="R349" s="3">
        <v>46.82</v>
      </c>
      <c r="S349" s="3">
        <v>124.81161229999999</v>
      </c>
      <c r="T349" s="3">
        <v>27.623817620000001</v>
      </c>
      <c r="U349" s="3">
        <v>86.749482401656323</v>
      </c>
      <c r="V349" s="3">
        <v>7</v>
      </c>
      <c r="W349" s="3">
        <v>20.676200000000001</v>
      </c>
      <c r="X349" s="3">
        <v>71.325484340000003</v>
      </c>
      <c r="Y349" s="3"/>
    </row>
    <row r="350" spans="1:25" x14ac:dyDescent="0.3">
      <c r="A350" s="2" t="s">
        <v>392</v>
      </c>
      <c r="B350" s="2" t="s">
        <v>30</v>
      </c>
      <c r="C350" s="2" t="s">
        <v>143</v>
      </c>
      <c r="D350" s="2" t="s">
        <v>144</v>
      </c>
      <c r="E350" s="2">
        <v>2</v>
      </c>
      <c r="F350" s="2">
        <v>2</v>
      </c>
      <c r="G350" s="2">
        <v>6</v>
      </c>
      <c r="H350" s="2">
        <v>4</v>
      </c>
      <c r="I350" s="3">
        <v>32.549999999999997</v>
      </c>
      <c r="J350" s="3">
        <v>16</v>
      </c>
      <c r="K350" s="3">
        <v>22</v>
      </c>
      <c r="L350" s="3">
        <v>66</v>
      </c>
      <c r="M350" s="3">
        <v>8.1630000000000003</v>
      </c>
      <c r="N350" s="3">
        <v>39.4</v>
      </c>
      <c r="O350" s="3">
        <v>73.64</v>
      </c>
      <c r="P350" s="3">
        <v>97.630585499999995</v>
      </c>
      <c r="Q350" s="3">
        <v>20.935398249999999</v>
      </c>
      <c r="R350" s="3">
        <v>46.21</v>
      </c>
      <c r="S350" s="3">
        <v>120.2298016</v>
      </c>
      <c r="T350" s="3">
        <v>29.733432359999998</v>
      </c>
      <c r="U350" s="3">
        <v>88.123515439429937</v>
      </c>
      <c r="V350" s="3">
        <v>6.5</v>
      </c>
      <c r="W350" s="3">
        <v>15.946</v>
      </c>
      <c r="X350" s="3">
        <v>78.753954550000003</v>
      </c>
      <c r="Y350" s="3"/>
    </row>
    <row r="351" spans="1:25" x14ac:dyDescent="0.3">
      <c r="A351" s="2" t="s">
        <v>393</v>
      </c>
      <c r="B351" s="2" t="s">
        <v>30</v>
      </c>
      <c r="C351" s="2" t="s">
        <v>143</v>
      </c>
      <c r="D351" s="2" t="s">
        <v>144</v>
      </c>
      <c r="E351" s="2">
        <v>2</v>
      </c>
      <c r="F351" s="2">
        <v>2</v>
      </c>
      <c r="G351" s="2">
        <v>6</v>
      </c>
      <c r="H351" s="2">
        <v>5</v>
      </c>
      <c r="I351" s="3">
        <v>36.33</v>
      </c>
      <c r="J351" s="3">
        <v>16.04</v>
      </c>
      <c r="K351" s="3">
        <v>24</v>
      </c>
      <c r="L351" s="3">
        <v>60</v>
      </c>
      <c r="M351" s="3">
        <v>10.624000000000001</v>
      </c>
      <c r="N351" s="3">
        <v>48.2</v>
      </c>
      <c r="O351" s="3">
        <v>78.650000000000006</v>
      </c>
      <c r="P351" s="3">
        <v>98.541364380000005</v>
      </c>
      <c r="Q351" s="3">
        <v>18.313123709999999</v>
      </c>
      <c r="R351" s="3">
        <v>48.73</v>
      </c>
      <c r="S351" s="3">
        <v>123.7277287</v>
      </c>
      <c r="T351" s="3">
        <v>33.498352199999999</v>
      </c>
      <c r="U351" s="3">
        <v>89.521640091116168</v>
      </c>
      <c r="V351" s="3">
        <v>8.5</v>
      </c>
      <c r="W351" s="3">
        <v>22.24400000000001</v>
      </c>
      <c r="X351" s="3">
        <v>83.538554050000002</v>
      </c>
      <c r="Y351" s="3"/>
    </row>
    <row r="352" spans="1:25" x14ac:dyDescent="0.3">
      <c r="A352" s="2" t="s">
        <v>394</v>
      </c>
      <c r="B352" s="2" t="s">
        <v>30</v>
      </c>
      <c r="C352" s="2" t="s">
        <v>39</v>
      </c>
      <c r="D352" s="2" t="s">
        <v>47</v>
      </c>
      <c r="E352" s="2">
        <v>2</v>
      </c>
      <c r="F352" s="2">
        <v>2</v>
      </c>
      <c r="G352" s="2">
        <v>6</v>
      </c>
      <c r="H352" s="2">
        <v>1</v>
      </c>
      <c r="I352" s="3">
        <v>55.2</v>
      </c>
      <c r="J352" s="3">
        <v>16.75</v>
      </c>
      <c r="K352" s="3">
        <v>27</v>
      </c>
      <c r="L352" s="3">
        <v>58</v>
      </c>
      <c r="M352" s="3">
        <v>4.5888999999999998</v>
      </c>
      <c r="N352" s="3">
        <v>40.1</v>
      </c>
      <c r="O352" s="3">
        <v>77.709999999999994</v>
      </c>
      <c r="P352" s="3">
        <v>103.5786205</v>
      </c>
      <c r="Q352" s="3">
        <v>19.114779207000002</v>
      </c>
      <c r="R352" s="3">
        <v>49.85</v>
      </c>
      <c r="S352" s="3">
        <v>121.1905065</v>
      </c>
      <c r="T352" s="3">
        <v>35.490195829999998</v>
      </c>
      <c r="U352" s="3">
        <v>87.782805429864254</v>
      </c>
      <c r="V352" s="3">
        <v>4</v>
      </c>
      <c r="W352" s="3">
        <v>14.177199999999999</v>
      </c>
      <c r="X352" s="3">
        <v>81.047966700000003</v>
      </c>
      <c r="Y352" s="3"/>
    </row>
    <row r="353" spans="1:25" x14ac:dyDescent="0.3">
      <c r="A353" s="2" t="s">
        <v>395</v>
      </c>
      <c r="B353" s="2" t="s">
        <v>30</v>
      </c>
      <c r="C353" s="2" t="s">
        <v>39</v>
      </c>
      <c r="D353" s="2" t="s">
        <v>47</v>
      </c>
      <c r="E353" s="2">
        <v>2</v>
      </c>
      <c r="F353" s="2">
        <v>2</v>
      </c>
      <c r="G353" s="2">
        <v>6</v>
      </c>
      <c r="H353" s="2">
        <v>2</v>
      </c>
      <c r="I353" s="3">
        <v>52.8</v>
      </c>
      <c r="J353" s="3">
        <v>15.26</v>
      </c>
      <c r="K353" s="3">
        <v>26</v>
      </c>
      <c r="L353" s="3">
        <v>50</v>
      </c>
      <c r="M353" s="3">
        <v>9.5442999999999998</v>
      </c>
      <c r="N353" s="3">
        <v>42.6</v>
      </c>
      <c r="O353" s="3">
        <v>76.62</v>
      </c>
      <c r="P353" s="3">
        <v>105.4237435</v>
      </c>
      <c r="Q353" s="3">
        <v>20.415109220000001</v>
      </c>
      <c r="R353" s="3">
        <v>43.48</v>
      </c>
      <c r="S353" s="3">
        <v>122.14254080000001</v>
      </c>
      <c r="T353" s="3">
        <v>23.419660539999999</v>
      </c>
      <c r="U353" s="3">
        <v>90.523690773067329</v>
      </c>
      <c r="V353" s="3">
        <v>5</v>
      </c>
      <c r="W353" s="3">
        <v>16.2408</v>
      </c>
      <c r="X353" s="3">
        <v>69.377667689999996</v>
      </c>
      <c r="Y353" s="3"/>
    </row>
    <row r="354" spans="1:25" x14ac:dyDescent="0.3">
      <c r="A354" s="2" t="s">
        <v>396</v>
      </c>
      <c r="B354" s="2" t="s">
        <v>30</v>
      </c>
      <c r="C354" s="2" t="s">
        <v>39</v>
      </c>
      <c r="D354" s="2" t="s">
        <v>47</v>
      </c>
      <c r="E354" s="2">
        <v>2</v>
      </c>
      <c r="F354" s="2">
        <v>2</v>
      </c>
      <c r="G354" s="2">
        <v>6</v>
      </c>
      <c r="H354" s="2">
        <v>3</v>
      </c>
      <c r="I354" s="3">
        <v>54.46</v>
      </c>
      <c r="J354" s="3">
        <v>18.579999999999998</v>
      </c>
      <c r="K354" s="3">
        <v>24</v>
      </c>
      <c r="L354" s="3">
        <v>55</v>
      </c>
      <c r="M354" s="3">
        <v>8.8209</v>
      </c>
      <c r="N354" s="3">
        <v>46.3</v>
      </c>
      <c r="O354" s="3">
        <v>77.709999999999994</v>
      </c>
      <c r="P354" s="3">
        <v>102.5755508</v>
      </c>
      <c r="Q354" s="3">
        <v>18.227339109999999</v>
      </c>
      <c r="R354" s="3">
        <v>52.42</v>
      </c>
      <c r="S354" s="3"/>
      <c r="T354" s="3">
        <v>30.051748700000001</v>
      </c>
      <c r="U354" s="3">
        <v>89.48863636363636</v>
      </c>
      <c r="V354" s="3">
        <v>3.5</v>
      </c>
      <c r="W354" s="3">
        <v>12.703200000000001</v>
      </c>
      <c r="X354" s="3">
        <v>56.45454573</v>
      </c>
      <c r="Y354" s="3"/>
    </row>
    <row r="355" spans="1:25" x14ac:dyDescent="0.3">
      <c r="A355" s="2" t="s">
        <v>397</v>
      </c>
      <c r="B355" s="2" t="s">
        <v>30</v>
      </c>
      <c r="C355" s="2" t="s">
        <v>39</v>
      </c>
      <c r="D355" s="2" t="s">
        <v>47</v>
      </c>
      <c r="E355" s="2">
        <v>2</v>
      </c>
      <c r="F355" s="2">
        <v>2</v>
      </c>
      <c r="G355" s="2">
        <v>6</v>
      </c>
      <c r="H355" s="2">
        <v>4</v>
      </c>
      <c r="I355" s="3">
        <v>57.91</v>
      </c>
      <c r="J355" s="3">
        <v>16.899999999999999</v>
      </c>
      <c r="K355" s="3">
        <v>26</v>
      </c>
      <c r="L355" s="3">
        <v>59</v>
      </c>
      <c r="M355" s="3">
        <v>10.417</v>
      </c>
      <c r="N355" s="3">
        <v>46.8</v>
      </c>
      <c r="O355" s="3"/>
      <c r="P355" s="3">
        <v>118.6893738</v>
      </c>
      <c r="Q355" s="3"/>
      <c r="R355" s="3">
        <v>46.05</v>
      </c>
      <c r="S355" s="3">
        <v>124.67735999999999</v>
      </c>
      <c r="T355" s="3">
        <v>31.056730349999999</v>
      </c>
      <c r="U355" s="3">
        <v>88.764044943820224</v>
      </c>
      <c r="V355" s="3">
        <v>4</v>
      </c>
      <c r="W355" s="3">
        <v>13.231159999999999</v>
      </c>
      <c r="X355" s="3">
        <v>68.291529859999997</v>
      </c>
      <c r="Y355" s="3"/>
    </row>
    <row r="356" spans="1:25" x14ac:dyDescent="0.3">
      <c r="A356" s="2" t="s">
        <v>398</v>
      </c>
      <c r="B356" s="2" t="s">
        <v>30</v>
      </c>
      <c r="C356" s="2" t="s">
        <v>39</v>
      </c>
      <c r="D356" s="2" t="s">
        <v>47</v>
      </c>
      <c r="E356" s="2">
        <v>2</v>
      </c>
      <c r="F356" s="2">
        <v>2</v>
      </c>
      <c r="G356" s="2">
        <v>6</v>
      </c>
      <c r="H356" s="2">
        <v>5</v>
      </c>
      <c r="I356" s="3">
        <v>57.89</v>
      </c>
      <c r="J356" s="3">
        <v>17.3</v>
      </c>
      <c r="K356" s="3">
        <v>25</v>
      </c>
      <c r="L356" s="3">
        <v>50</v>
      </c>
      <c r="M356" s="3">
        <v>14.29</v>
      </c>
      <c r="N356" s="3">
        <v>47.2</v>
      </c>
      <c r="O356" s="3"/>
      <c r="P356" s="3">
        <v>111.7012952</v>
      </c>
      <c r="Q356" s="3">
        <v>20.655214690000001</v>
      </c>
      <c r="R356" s="3">
        <v>49.72</v>
      </c>
      <c r="S356" s="3">
        <v>121.9212788</v>
      </c>
      <c r="T356" s="3">
        <v>34.779627660000003</v>
      </c>
      <c r="U356" s="3">
        <v>89.309576837416472</v>
      </c>
      <c r="V356" s="3">
        <v>4.5</v>
      </c>
      <c r="W356" s="3">
        <v>19.657800000000002</v>
      </c>
      <c r="X356" s="3">
        <v>51.941853909999999</v>
      </c>
      <c r="Y356" s="3"/>
    </row>
    <row r="357" spans="1:25" x14ac:dyDescent="0.3">
      <c r="A357" s="2" t="s">
        <v>399</v>
      </c>
      <c r="B357" s="2" t="s">
        <v>150</v>
      </c>
      <c r="C357" s="2" t="s">
        <v>143</v>
      </c>
      <c r="D357" s="2" t="s">
        <v>163</v>
      </c>
      <c r="E357" s="2">
        <v>2</v>
      </c>
      <c r="F357" s="2">
        <v>3</v>
      </c>
      <c r="G357" s="2">
        <v>10</v>
      </c>
      <c r="H357" s="2">
        <v>1</v>
      </c>
      <c r="I357" s="3">
        <v>30.68</v>
      </c>
      <c r="J357" s="3">
        <v>9.7129999999999992</v>
      </c>
      <c r="K357" s="3">
        <v>19</v>
      </c>
      <c r="L357" s="3">
        <v>45</v>
      </c>
      <c r="M357" s="3">
        <v>18.873999999999999</v>
      </c>
      <c r="N357" s="3">
        <v>11.5</v>
      </c>
      <c r="O357" s="3">
        <v>60.29</v>
      </c>
      <c r="P357" s="3"/>
      <c r="Q357" s="3">
        <v>29.48080392</v>
      </c>
      <c r="R357" s="3"/>
      <c r="S357" s="3">
        <v>111.3097405</v>
      </c>
      <c r="T357" s="3">
        <v>32.910138259999997</v>
      </c>
      <c r="U357" s="3">
        <v>88.717948717948715</v>
      </c>
      <c r="V357" s="3">
        <v>4</v>
      </c>
      <c r="W357" s="3">
        <v>14.2308</v>
      </c>
      <c r="X357" s="3"/>
      <c r="Y357" s="3"/>
    </row>
    <row r="358" spans="1:25" x14ac:dyDescent="0.3">
      <c r="A358" s="2" t="s">
        <v>400</v>
      </c>
      <c r="B358" s="2" t="s">
        <v>150</v>
      </c>
      <c r="C358" s="2" t="s">
        <v>143</v>
      </c>
      <c r="D358" s="2" t="s">
        <v>163</v>
      </c>
      <c r="E358" s="2">
        <v>2</v>
      </c>
      <c r="F358" s="2">
        <v>3</v>
      </c>
      <c r="G358" s="2">
        <v>10</v>
      </c>
      <c r="H358" s="2">
        <v>2</v>
      </c>
      <c r="I358" s="3">
        <v>39.51</v>
      </c>
      <c r="J358" s="3"/>
      <c r="K358" s="3">
        <v>23</v>
      </c>
      <c r="L358" s="3">
        <v>46</v>
      </c>
      <c r="M358" s="3">
        <v>9.4057999999999993</v>
      </c>
      <c r="N358" s="3">
        <v>35.6</v>
      </c>
      <c r="O358" s="3">
        <v>73.13</v>
      </c>
      <c r="P358" s="3">
        <v>95.111185239999998</v>
      </c>
      <c r="Q358" s="3">
        <v>18.744540539999999</v>
      </c>
      <c r="R358" s="3">
        <v>56.61</v>
      </c>
      <c r="S358" s="3">
        <v>117.2395355</v>
      </c>
      <c r="T358" s="3">
        <v>35.772646549999997</v>
      </c>
      <c r="U358" s="3">
        <v>79.814385150812058</v>
      </c>
      <c r="V358" s="3">
        <v>4.5</v>
      </c>
      <c r="W358" s="3">
        <v>12.9846</v>
      </c>
      <c r="X358" s="3"/>
      <c r="Y358" s="3"/>
    </row>
    <row r="359" spans="1:25" x14ac:dyDescent="0.3">
      <c r="A359" s="2" t="s">
        <v>401</v>
      </c>
      <c r="B359" s="2" t="s">
        <v>150</v>
      </c>
      <c r="C359" s="2" t="s">
        <v>143</v>
      </c>
      <c r="D359" s="2" t="s">
        <v>163</v>
      </c>
      <c r="E359" s="2">
        <v>2</v>
      </c>
      <c r="F359" s="2">
        <v>3</v>
      </c>
      <c r="G359" s="2">
        <v>10</v>
      </c>
      <c r="H359" s="2">
        <v>3</v>
      </c>
      <c r="I359" s="3">
        <v>35.07</v>
      </c>
      <c r="J359" s="3">
        <v>10.69</v>
      </c>
      <c r="K359" s="3">
        <v>21</v>
      </c>
      <c r="L359" s="3">
        <v>46</v>
      </c>
      <c r="M359" s="3">
        <v>10.102</v>
      </c>
      <c r="N359" s="3">
        <v>34.6</v>
      </c>
      <c r="O359" s="3">
        <v>64.260000000000005</v>
      </c>
      <c r="P359" s="3"/>
      <c r="Q359" s="3">
        <v>25.985245809999999</v>
      </c>
      <c r="R359" s="3">
        <v>61.88</v>
      </c>
      <c r="S359" s="3">
        <v>115.04271799999999</v>
      </c>
      <c r="T359" s="3">
        <v>33.775295540000002</v>
      </c>
      <c r="U359" s="3">
        <v>80.293501048218033</v>
      </c>
      <c r="V359" s="3">
        <v>3.5</v>
      </c>
      <c r="W359" s="3">
        <v>21.172000000000001</v>
      </c>
      <c r="X359" s="3">
        <v>45.41798489</v>
      </c>
      <c r="Y359" s="3"/>
    </row>
    <row r="360" spans="1:25" x14ac:dyDescent="0.3">
      <c r="A360" s="2" t="s">
        <v>402</v>
      </c>
      <c r="B360" s="2" t="s">
        <v>150</v>
      </c>
      <c r="C360" s="2" t="s">
        <v>143</v>
      </c>
      <c r="D360" s="2" t="s">
        <v>163</v>
      </c>
      <c r="E360" s="2">
        <v>2</v>
      </c>
      <c r="F360" s="2">
        <v>3</v>
      </c>
      <c r="G360" s="2">
        <v>10</v>
      </c>
      <c r="H360" s="2">
        <v>4</v>
      </c>
      <c r="I360" s="3">
        <v>33.479999999999997</v>
      </c>
      <c r="J360" s="3">
        <v>9.1</v>
      </c>
      <c r="K360" s="3">
        <v>24</v>
      </c>
      <c r="L360" s="3">
        <v>40</v>
      </c>
      <c r="M360" s="3">
        <v>9.3102</v>
      </c>
      <c r="N360" s="3">
        <v>27.7</v>
      </c>
      <c r="O360" s="3">
        <v>69</v>
      </c>
      <c r="P360" s="3">
        <v>93.312240799999998</v>
      </c>
      <c r="Q360" s="3">
        <v>21.806432539999999</v>
      </c>
      <c r="R360" s="3">
        <v>58.07</v>
      </c>
      <c r="S360" s="3">
        <v>117.811341</v>
      </c>
      <c r="T360" s="3">
        <v>35.730432540000002</v>
      </c>
      <c r="U360" s="3">
        <v>78.163265306122454</v>
      </c>
      <c r="V360" s="3">
        <v>3.5</v>
      </c>
      <c r="W360" s="3">
        <v>20.904000000000011</v>
      </c>
      <c r="X360" s="3">
        <v>54.378295209999997</v>
      </c>
      <c r="Y360" s="3"/>
    </row>
    <row r="361" spans="1:25" x14ac:dyDescent="0.3">
      <c r="A361" s="2" t="s">
        <v>403</v>
      </c>
      <c r="B361" s="2" t="s">
        <v>150</v>
      </c>
      <c r="C361" s="2" t="s">
        <v>143</v>
      </c>
      <c r="D361" s="2" t="s">
        <v>163</v>
      </c>
      <c r="E361" s="2">
        <v>2</v>
      </c>
      <c r="F361" s="2">
        <v>3</v>
      </c>
      <c r="G361" s="2">
        <v>10</v>
      </c>
      <c r="H361" s="2">
        <v>5</v>
      </c>
      <c r="I361" s="3">
        <v>37.909999999999997</v>
      </c>
      <c r="J361" s="3">
        <v>9.67</v>
      </c>
      <c r="K361" s="3">
        <v>22</v>
      </c>
      <c r="L361" s="3">
        <v>46</v>
      </c>
      <c r="M361" s="3">
        <v>10.161</v>
      </c>
      <c r="N361" s="3">
        <v>23.7</v>
      </c>
      <c r="O361" s="3">
        <v>74.64</v>
      </c>
      <c r="P361" s="3"/>
      <c r="Q361" s="3">
        <v>12.874164049999999</v>
      </c>
      <c r="R361" s="3">
        <v>58.73</v>
      </c>
      <c r="S361" s="3">
        <v>117.26943060000001</v>
      </c>
      <c r="T361" s="3">
        <v>35.091484780000002</v>
      </c>
      <c r="U361" s="3">
        <v>82.35294117647058</v>
      </c>
      <c r="V361" s="3">
        <v>3.5</v>
      </c>
      <c r="W361" s="3">
        <v>18.7332</v>
      </c>
      <c r="X361" s="3">
        <v>48.884103719999999</v>
      </c>
      <c r="Y361" s="3"/>
    </row>
    <row r="362" spans="1:25" x14ac:dyDescent="0.3">
      <c r="A362" s="2" t="s">
        <v>404</v>
      </c>
      <c r="B362" s="2" t="s">
        <v>30</v>
      </c>
      <c r="C362" s="2" t="s">
        <v>39</v>
      </c>
      <c r="D362" s="2" t="s">
        <v>40</v>
      </c>
      <c r="E362" s="2">
        <v>2</v>
      </c>
      <c r="F362" s="2">
        <v>3</v>
      </c>
      <c r="G362" s="2">
        <v>10</v>
      </c>
      <c r="H362" s="2">
        <v>1</v>
      </c>
      <c r="I362" s="3">
        <v>48.88</v>
      </c>
      <c r="J362" s="3">
        <v>16.07</v>
      </c>
      <c r="K362" s="3">
        <v>24</v>
      </c>
      <c r="L362" s="3">
        <v>47</v>
      </c>
      <c r="M362" s="3">
        <v>20.138000000000002</v>
      </c>
      <c r="N362" s="3">
        <v>36.9</v>
      </c>
      <c r="O362" s="3">
        <v>66.16</v>
      </c>
      <c r="P362" s="3">
        <v>93.35136593</v>
      </c>
      <c r="Q362" s="3">
        <v>20.354815160000001</v>
      </c>
      <c r="R362" s="3">
        <v>56.52</v>
      </c>
      <c r="S362" s="3">
        <v>120.58780640000001</v>
      </c>
      <c r="T362" s="3">
        <v>33.833919510000001</v>
      </c>
      <c r="U362" s="3">
        <v>79.212253829321654</v>
      </c>
      <c r="V362" s="3">
        <v>4.5</v>
      </c>
      <c r="W362" s="3">
        <v>16.843800000000002</v>
      </c>
      <c r="X362" s="3">
        <v>54.531857209999998</v>
      </c>
      <c r="Y362" s="3"/>
    </row>
    <row r="363" spans="1:25" x14ac:dyDescent="0.3">
      <c r="A363" s="2" t="s">
        <v>405</v>
      </c>
      <c r="B363" s="2" t="s">
        <v>30</v>
      </c>
      <c r="C363" s="2" t="s">
        <v>39</v>
      </c>
      <c r="D363" s="2" t="s">
        <v>40</v>
      </c>
      <c r="E363" s="2">
        <v>2</v>
      </c>
      <c r="F363" s="2">
        <v>3</v>
      </c>
      <c r="G363" s="2">
        <v>10</v>
      </c>
      <c r="H363" s="2">
        <v>2</v>
      </c>
      <c r="I363" s="3">
        <v>44.24</v>
      </c>
      <c r="J363" s="3">
        <v>21.23</v>
      </c>
      <c r="K363" s="3">
        <v>24</v>
      </c>
      <c r="L363" s="3">
        <v>48</v>
      </c>
      <c r="M363" s="3">
        <v>14.157</v>
      </c>
      <c r="N363" s="3">
        <v>44.9</v>
      </c>
      <c r="O363" s="3">
        <v>76.48</v>
      </c>
      <c r="P363" s="3">
        <v>99.672499000000002</v>
      </c>
      <c r="Q363" s="3">
        <v>20.296378000000001</v>
      </c>
      <c r="R363" s="3">
        <v>44.26</v>
      </c>
      <c r="S363" s="3">
        <v>126.30839709999999</v>
      </c>
      <c r="T363" s="3">
        <v>26.95329293</v>
      </c>
      <c r="U363" s="3">
        <v>78.099173553718998</v>
      </c>
      <c r="V363" s="3">
        <v>7.5</v>
      </c>
      <c r="W363" s="3">
        <v>16.736599999999999</v>
      </c>
      <c r="X363" s="3">
        <v>57.268601539999999</v>
      </c>
      <c r="Y363" s="3"/>
    </row>
    <row r="364" spans="1:25" x14ac:dyDescent="0.3">
      <c r="A364" s="2" t="s">
        <v>406</v>
      </c>
      <c r="B364" s="2" t="s">
        <v>30</v>
      </c>
      <c r="C364" s="2" t="s">
        <v>39</v>
      </c>
      <c r="D364" s="2" t="s">
        <v>40</v>
      </c>
      <c r="E364" s="2">
        <v>2</v>
      </c>
      <c r="F364" s="2">
        <v>3</v>
      </c>
      <c r="G364" s="2">
        <v>10</v>
      </c>
      <c r="H364" s="2">
        <v>3</v>
      </c>
      <c r="I364" s="3">
        <v>46.06</v>
      </c>
      <c r="J364" s="3">
        <v>18.66</v>
      </c>
      <c r="K364" s="3">
        <v>23</v>
      </c>
      <c r="L364" s="3">
        <v>50</v>
      </c>
      <c r="M364" s="3">
        <v>12.826000000000001</v>
      </c>
      <c r="N364" s="3">
        <v>34.6</v>
      </c>
      <c r="O364" s="3">
        <v>75.599999999999994</v>
      </c>
      <c r="P364" s="3">
        <v>100.6971968</v>
      </c>
      <c r="Q364" s="3">
        <v>6.7879672949999996</v>
      </c>
      <c r="R364" s="3">
        <v>53.02</v>
      </c>
      <c r="S364" s="3">
        <v>119.17897929999999</v>
      </c>
      <c r="T364" s="3">
        <v>41.965476289999998</v>
      </c>
      <c r="U364" s="3">
        <v>81.512605042016801</v>
      </c>
      <c r="V364" s="3">
        <v>3</v>
      </c>
      <c r="W364" s="3">
        <v>23.892199999999999</v>
      </c>
      <c r="X364" s="3">
        <v>53.932848649999997</v>
      </c>
      <c r="Y364" s="3"/>
    </row>
    <row r="365" spans="1:25" x14ac:dyDescent="0.3">
      <c r="A365" s="2" t="s">
        <v>407</v>
      </c>
      <c r="B365" s="2" t="s">
        <v>30</v>
      </c>
      <c r="C365" s="2" t="s">
        <v>39</v>
      </c>
      <c r="D365" s="2" t="s">
        <v>40</v>
      </c>
      <c r="E365" s="2">
        <v>2</v>
      </c>
      <c r="F365" s="2">
        <v>3</v>
      </c>
      <c r="G365" s="2">
        <v>10</v>
      </c>
      <c r="H365" s="2">
        <v>4</v>
      </c>
      <c r="I365" s="3">
        <v>52.33</v>
      </c>
      <c r="J365" s="3">
        <v>14.17</v>
      </c>
      <c r="K365" s="3">
        <v>22</v>
      </c>
      <c r="L365" s="3">
        <v>49</v>
      </c>
      <c r="M365" s="3">
        <v>12.266999999999999</v>
      </c>
      <c r="N365" s="3">
        <v>39.700000000000003</v>
      </c>
      <c r="O365" s="3">
        <v>76.2</v>
      </c>
      <c r="P365" s="3">
        <v>103.3013065</v>
      </c>
      <c r="Q365" s="3">
        <v>20.214014880000001</v>
      </c>
      <c r="R365" s="3">
        <v>59.81</v>
      </c>
      <c r="S365" s="3">
        <v>124.7132795</v>
      </c>
      <c r="T365" s="3">
        <v>33</v>
      </c>
      <c r="U365" s="3">
        <v>79.318181818181827</v>
      </c>
      <c r="V365" s="3">
        <v>4</v>
      </c>
      <c r="W365" s="3">
        <v>19.671199999999999</v>
      </c>
      <c r="X365" s="3">
        <v>54.411693079999999</v>
      </c>
      <c r="Y365" s="3"/>
    </row>
    <row r="366" spans="1:25" x14ac:dyDescent="0.3">
      <c r="A366" s="2" t="s">
        <v>408</v>
      </c>
      <c r="B366" s="2" t="s">
        <v>30</v>
      </c>
      <c r="C366" s="2" t="s">
        <v>39</v>
      </c>
      <c r="D366" s="2" t="s">
        <v>40</v>
      </c>
      <c r="E366" s="2">
        <v>2</v>
      </c>
      <c r="F366" s="2">
        <v>3</v>
      </c>
      <c r="G366" s="2">
        <v>10</v>
      </c>
      <c r="H366" s="2">
        <v>5</v>
      </c>
      <c r="I366" s="3">
        <v>48.48</v>
      </c>
      <c r="J366" s="3"/>
      <c r="K366" s="3">
        <v>24</v>
      </c>
      <c r="L366" s="3">
        <v>15</v>
      </c>
      <c r="M366" s="3">
        <v>14.475</v>
      </c>
      <c r="N366" s="3">
        <v>39.799999999999997</v>
      </c>
      <c r="O366" s="3">
        <v>80.239999999999995</v>
      </c>
      <c r="P366" s="3">
        <v>100.94430970000001</v>
      </c>
      <c r="Q366" s="3">
        <v>19.533399184</v>
      </c>
      <c r="R366" s="3">
        <v>45.59</v>
      </c>
      <c r="S366" s="3">
        <v>125.0657552</v>
      </c>
      <c r="T366" s="3">
        <v>31.069396520000002</v>
      </c>
      <c r="U366" s="3">
        <v>80.59071729957806</v>
      </c>
      <c r="V366" s="3">
        <v>4.5</v>
      </c>
      <c r="W366" s="3">
        <v>12.033200000000001</v>
      </c>
      <c r="X366" s="3">
        <v>71.261900220000001</v>
      </c>
      <c r="Y366" s="3"/>
    </row>
    <row r="367" spans="1:25" x14ac:dyDescent="0.3">
      <c r="A367" s="2" t="s">
        <v>409</v>
      </c>
      <c r="B367" s="2" t="s">
        <v>30</v>
      </c>
      <c r="C367" s="2" t="s">
        <v>31</v>
      </c>
      <c r="D367" s="2" t="s">
        <v>32</v>
      </c>
      <c r="E367" s="2">
        <v>2</v>
      </c>
      <c r="F367" s="2">
        <v>3</v>
      </c>
      <c r="G367" s="2">
        <v>10</v>
      </c>
      <c r="H367" s="2">
        <v>1</v>
      </c>
      <c r="I367" s="3">
        <v>28.26</v>
      </c>
      <c r="J367" s="3">
        <v>16.100000000000001</v>
      </c>
      <c r="K367" s="3">
        <v>23</v>
      </c>
      <c r="L367" s="3">
        <v>49</v>
      </c>
      <c r="M367" s="3">
        <v>27.954999999999998</v>
      </c>
      <c r="N367" s="3">
        <v>48.5</v>
      </c>
      <c r="O367" s="3">
        <v>70.349999999999994</v>
      </c>
      <c r="P367" s="3"/>
      <c r="Q367" s="3"/>
      <c r="R367" s="3">
        <v>47.41</v>
      </c>
      <c r="S367" s="3">
        <v>124.4787412</v>
      </c>
      <c r="T367" s="3">
        <v>31.019002239999999</v>
      </c>
      <c r="U367" s="3">
        <v>69.841269841269835</v>
      </c>
      <c r="V367" s="3">
        <v>2.5</v>
      </c>
      <c r="W367" s="3">
        <v>20.930800000000001</v>
      </c>
      <c r="X367" s="3">
        <v>59.71380808</v>
      </c>
      <c r="Y367" s="3"/>
    </row>
    <row r="368" spans="1:25" x14ac:dyDescent="0.3">
      <c r="A368" s="2" t="s">
        <v>410</v>
      </c>
      <c r="B368" s="2" t="s">
        <v>30</v>
      </c>
      <c r="C368" s="2" t="s">
        <v>31</v>
      </c>
      <c r="D368" s="2" t="s">
        <v>32</v>
      </c>
      <c r="E368" s="2">
        <v>2</v>
      </c>
      <c r="F368" s="2">
        <v>3</v>
      </c>
      <c r="G368" s="2">
        <v>10</v>
      </c>
      <c r="H368" s="2">
        <v>2</v>
      </c>
      <c r="I368" s="3">
        <v>40.46</v>
      </c>
      <c r="J368" s="3">
        <v>16.09</v>
      </c>
      <c r="K368" s="3">
        <v>23</v>
      </c>
      <c r="L368" s="3">
        <v>45</v>
      </c>
      <c r="M368" s="3">
        <v>17.11</v>
      </c>
      <c r="N368" s="3">
        <v>43.3</v>
      </c>
      <c r="O368" s="3">
        <v>70.17</v>
      </c>
      <c r="P368" s="3">
        <v>105.9651921</v>
      </c>
      <c r="Q368" s="3">
        <v>19.705807839999999</v>
      </c>
      <c r="R368" s="3">
        <v>46.94</v>
      </c>
      <c r="S368" s="3">
        <v>124.8984102</v>
      </c>
      <c r="T368" s="3">
        <v>31.68875195</v>
      </c>
      <c r="U368" s="3">
        <v>75.381263616557732</v>
      </c>
      <c r="V368" s="3">
        <v>7.5</v>
      </c>
      <c r="W368" s="3">
        <v>23.691199999999998</v>
      </c>
      <c r="X368" s="3">
        <v>56.428234140000001</v>
      </c>
      <c r="Y368" s="3"/>
    </row>
    <row r="369" spans="1:25" x14ac:dyDescent="0.3">
      <c r="A369" s="2" t="s">
        <v>411</v>
      </c>
      <c r="B369" s="2" t="s">
        <v>30</v>
      </c>
      <c r="C369" s="2" t="s">
        <v>31</v>
      </c>
      <c r="D369" s="2" t="s">
        <v>32</v>
      </c>
      <c r="E369" s="2">
        <v>2</v>
      </c>
      <c r="F369" s="2">
        <v>3</v>
      </c>
      <c r="G369" s="2">
        <v>10</v>
      </c>
      <c r="H369" s="2">
        <v>3</v>
      </c>
      <c r="I369" s="3">
        <v>39.57</v>
      </c>
      <c r="J369" s="3">
        <v>14.89</v>
      </c>
      <c r="K369" s="3">
        <v>24</v>
      </c>
      <c r="L369" s="3">
        <v>48</v>
      </c>
      <c r="M369" s="3">
        <v>9.5962999999999994</v>
      </c>
      <c r="N369" s="3">
        <v>41.6</v>
      </c>
      <c r="O369" s="3">
        <v>68.239999999999995</v>
      </c>
      <c r="P369" s="3">
        <v>108.0080481</v>
      </c>
      <c r="Q369" s="3">
        <v>18.16492689</v>
      </c>
      <c r="R369" s="3">
        <v>49.93</v>
      </c>
      <c r="S369" s="3">
        <v>122.68173280000001</v>
      </c>
      <c r="T369" s="3">
        <v>31.05692354</v>
      </c>
      <c r="U369" s="3">
        <v>76.35574837310196</v>
      </c>
      <c r="V369" s="3">
        <v>8.5</v>
      </c>
      <c r="W369" s="3">
        <v>23.31600000000001</v>
      </c>
      <c r="X369" s="3">
        <v>63.977288100000003</v>
      </c>
      <c r="Y369" s="3"/>
    </row>
    <row r="370" spans="1:25" x14ac:dyDescent="0.3">
      <c r="A370" s="2" t="s">
        <v>412</v>
      </c>
      <c r="B370" s="2" t="s">
        <v>30</v>
      </c>
      <c r="C370" s="2" t="s">
        <v>31</v>
      </c>
      <c r="D370" s="2" t="s">
        <v>32</v>
      </c>
      <c r="E370" s="2">
        <v>2</v>
      </c>
      <c r="F370" s="2">
        <v>3</v>
      </c>
      <c r="G370" s="2">
        <v>10</v>
      </c>
      <c r="H370" s="2">
        <v>4</v>
      </c>
      <c r="I370" s="3">
        <v>42.29</v>
      </c>
      <c r="J370" s="3">
        <v>15.8</v>
      </c>
      <c r="K370" s="3">
        <v>23</v>
      </c>
      <c r="L370" s="3">
        <v>45</v>
      </c>
      <c r="M370" s="3">
        <v>15.904</v>
      </c>
      <c r="N370" s="3">
        <v>36</v>
      </c>
      <c r="O370" s="3">
        <v>69.16</v>
      </c>
      <c r="P370" s="3">
        <v>104.74331789999999</v>
      </c>
      <c r="Q370" s="3"/>
      <c r="R370" s="3">
        <v>51.58</v>
      </c>
      <c r="S370" s="3">
        <v>120.4545756</v>
      </c>
      <c r="T370" s="3">
        <v>35.335247279999997</v>
      </c>
      <c r="U370" s="3">
        <v>77.426636568848764</v>
      </c>
      <c r="V370" s="3">
        <v>7</v>
      </c>
      <c r="W370" s="3">
        <v>23.516999999999999</v>
      </c>
      <c r="X370" s="3">
        <v>71.82749072</v>
      </c>
      <c r="Y370" s="3"/>
    </row>
    <row r="371" spans="1:25" x14ac:dyDescent="0.3">
      <c r="A371" s="2" t="s">
        <v>413</v>
      </c>
      <c r="B371" s="2" t="s">
        <v>30</v>
      </c>
      <c r="C371" s="2" t="s">
        <v>31</v>
      </c>
      <c r="D371" s="2" t="s">
        <v>32</v>
      </c>
      <c r="E371" s="2">
        <v>2</v>
      </c>
      <c r="F371" s="2">
        <v>3</v>
      </c>
      <c r="G371" s="2">
        <v>10</v>
      </c>
      <c r="H371" s="2">
        <v>5</v>
      </c>
      <c r="I371" s="3">
        <v>51.18</v>
      </c>
      <c r="J371" s="3">
        <v>15.5</v>
      </c>
      <c r="K371" s="3">
        <v>23</v>
      </c>
      <c r="L371" s="3">
        <v>51</v>
      </c>
      <c r="M371" s="3">
        <v>15.955</v>
      </c>
      <c r="N371" s="3">
        <v>49</v>
      </c>
      <c r="O371" s="3">
        <v>70.709999999999994</v>
      </c>
      <c r="P371" s="3">
        <v>110.2061609</v>
      </c>
      <c r="Q371" s="3">
        <v>18.809942070000002</v>
      </c>
      <c r="R371" s="3">
        <v>50.43</v>
      </c>
      <c r="S371" s="3">
        <v>124.1791157</v>
      </c>
      <c r="T371" s="3">
        <v>26.6293541</v>
      </c>
      <c r="U371" s="3">
        <v>77.148846960167717</v>
      </c>
      <c r="V371" s="3">
        <v>9.5</v>
      </c>
      <c r="W371" s="3">
        <v>23.490200000000002</v>
      </c>
      <c r="X371" s="3">
        <v>73.658894709999998</v>
      </c>
      <c r="Y371" s="3"/>
    </row>
    <row r="372" spans="1:25" x14ac:dyDescent="0.3">
      <c r="A372" s="2" t="s">
        <v>414</v>
      </c>
      <c r="B372" s="2" t="s">
        <v>30</v>
      </c>
      <c r="C372" s="2" t="s">
        <v>143</v>
      </c>
      <c r="D372" s="2" t="s">
        <v>144</v>
      </c>
      <c r="E372" s="2">
        <v>2</v>
      </c>
      <c r="F372" s="2">
        <v>3</v>
      </c>
      <c r="G372" s="2">
        <v>10</v>
      </c>
      <c r="H372" s="2">
        <v>1</v>
      </c>
      <c r="I372" s="3">
        <v>23.49</v>
      </c>
      <c r="J372" s="3">
        <v>11.09</v>
      </c>
      <c r="K372" s="3">
        <v>24</v>
      </c>
      <c r="L372" s="3">
        <v>41</v>
      </c>
      <c r="M372" s="3">
        <v>15.944000000000001</v>
      </c>
      <c r="N372" s="3">
        <v>16.3</v>
      </c>
      <c r="O372" s="3">
        <v>76.8</v>
      </c>
      <c r="P372" s="3">
        <v>90.841280740000002</v>
      </c>
      <c r="Q372" s="3">
        <v>16.341762450000001</v>
      </c>
      <c r="R372" s="3">
        <v>55.37</v>
      </c>
      <c r="S372" s="3">
        <v>115.0305635</v>
      </c>
      <c r="T372" s="3">
        <v>37.248357009999999</v>
      </c>
      <c r="U372" s="3">
        <v>78.8</v>
      </c>
      <c r="V372" s="3">
        <v>4</v>
      </c>
      <c r="W372" s="3">
        <v>15.5038</v>
      </c>
      <c r="X372" s="3">
        <v>42.426933220000002</v>
      </c>
      <c r="Y372" s="3"/>
    </row>
    <row r="373" spans="1:25" x14ac:dyDescent="0.3">
      <c r="A373" s="2" t="s">
        <v>415</v>
      </c>
      <c r="B373" s="2" t="s">
        <v>30</v>
      </c>
      <c r="C373" s="2" t="s">
        <v>143</v>
      </c>
      <c r="D373" s="2" t="s">
        <v>144</v>
      </c>
      <c r="E373" s="2">
        <v>2</v>
      </c>
      <c r="F373" s="2">
        <v>3</v>
      </c>
      <c r="G373" s="2">
        <v>10</v>
      </c>
      <c r="H373" s="2">
        <v>2</v>
      </c>
      <c r="I373" s="3">
        <v>47.92</v>
      </c>
      <c r="J373" s="3">
        <v>10.35</v>
      </c>
      <c r="K373" s="3">
        <v>23</v>
      </c>
      <c r="L373" s="3">
        <v>50</v>
      </c>
      <c r="M373" s="3">
        <v>12.369</v>
      </c>
      <c r="N373" s="3">
        <v>36.6</v>
      </c>
      <c r="O373" s="3">
        <v>70.06</v>
      </c>
      <c r="P373" s="3">
        <v>81.531682709999998</v>
      </c>
      <c r="Q373" s="3">
        <v>23.971337049999999</v>
      </c>
      <c r="R373" s="3">
        <v>52.84</v>
      </c>
      <c r="S373" s="3">
        <v>120.15324320000001</v>
      </c>
      <c r="T373" s="3">
        <v>36.869022229999999</v>
      </c>
      <c r="U373" s="3">
        <v>76.046511627906966</v>
      </c>
      <c r="V373" s="3">
        <v>6</v>
      </c>
      <c r="W373" s="3">
        <v>26.625800000000009</v>
      </c>
      <c r="X373" s="3">
        <v>55.99163995</v>
      </c>
      <c r="Y373" s="3"/>
    </row>
    <row r="374" spans="1:25" x14ac:dyDescent="0.3">
      <c r="A374" s="2" t="s">
        <v>416</v>
      </c>
      <c r="B374" s="2" t="s">
        <v>30</v>
      </c>
      <c r="C374" s="2" t="s">
        <v>143</v>
      </c>
      <c r="D374" s="2" t="s">
        <v>144</v>
      </c>
      <c r="E374" s="2">
        <v>2</v>
      </c>
      <c r="F374" s="2">
        <v>3</v>
      </c>
      <c r="G374" s="2">
        <v>10</v>
      </c>
      <c r="H374" s="2">
        <v>3</v>
      </c>
      <c r="I374" s="3">
        <v>30.78</v>
      </c>
      <c r="J374" s="3">
        <v>13.47</v>
      </c>
      <c r="K374" s="3">
        <v>23</v>
      </c>
      <c r="L374" s="3">
        <v>55</v>
      </c>
      <c r="M374" s="3">
        <v>17.391999999999999</v>
      </c>
      <c r="N374" s="3">
        <v>45.1</v>
      </c>
      <c r="O374" s="3">
        <v>75.010000000000005</v>
      </c>
      <c r="P374" s="3">
        <v>96.212020580000001</v>
      </c>
      <c r="Q374" s="3">
        <v>18.29744518</v>
      </c>
      <c r="R374" s="3">
        <v>54.49</v>
      </c>
      <c r="S374" s="3">
        <v>112.7559871</v>
      </c>
      <c r="T374" s="3"/>
      <c r="U374" s="3">
        <v>76.958525345622121</v>
      </c>
      <c r="V374" s="3">
        <v>6.5</v>
      </c>
      <c r="W374" s="3">
        <v>25.808399999999999</v>
      </c>
      <c r="X374" s="3">
        <v>48.193497280000003</v>
      </c>
      <c r="Y374" s="3"/>
    </row>
    <row r="375" spans="1:25" x14ac:dyDescent="0.3">
      <c r="A375" s="2" t="s">
        <v>417</v>
      </c>
      <c r="B375" s="2" t="s">
        <v>30</v>
      </c>
      <c r="C375" s="2" t="s">
        <v>143</v>
      </c>
      <c r="D375" s="2" t="s">
        <v>144</v>
      </c>
      <c r="E375" s="2">
        <v>2</v>
      </c>
      <c r="F375" s="2">
        <v>3</v>
      </c>
      <c r="G375" s="2">
        <v>10</v>
      </c>
      <c r="H375" s="2">
        <v>4</v>
      </c>
      <c r="I375" s="3">
        <v>28.02</v>
      </c>
      <c r="J375" s="3">
        <v>12.98</v>
      </c>
      <c r="K375" s="3">
        <v>24</v>
      </c>
      <c r="L375" s="3">
        <v>53</v>
      </c>
      <c r="M375" s="3">
        <v>19.071999999999999</v>
      </c>
      <c r="N375" s="3">
        <v>22.8</v>
      </c>
      <c r="O375" s="3">
        <v>68.33</v>
      </c>
      <c r="P375" s="3">
        <v>84.077077529999997</v>
      </c>
      <c r="Q375" s="3">
        <v>26.06915802</v>
      </c>
      <c r="R375" s="3"/>
      <c r="S375" s="3">
        <v>112.7626259</v>
      </c>
      <c r="T375" s="3">
        <v>40.060124809999998</v>
      </c>
      <c r="U375" s="3">
        <v>77.220956719817764</v>
      </c>
      <c r="V375" s="3">
        <v>4.5</v>
      </c>
      <c r="W375" s="3">
        <v>21.5472</v>
      </c>
      <c r="X375" s="3">
        <v>65.90602002</v>
      </c>
      <c r="Y375" s="3"/>
    </row>
    <row r="376" spans="1:25" x14ac:dyDescent="0.3">
      <c r="A376" s="2" t="s">
        <v>418</v>
      </c>
      <c r="B376" s="2" t="s">
        <v>30</v>
      </c>
      <c r="C376" s="2" t="s">
        <v>143</v>
      </c>
      <c r="D376" s="2" t="s">
        <v>144</v>
      </c>
      <c r="E376" s="2">
        <v>2</v>
      </c>
      <c r="F376" s="2">
        <v>3</v>
      </c>
      <c r="G376" s="2">
        <v>10</v>
      </c>
      <c r="H376" s="2">
        <v>5</v>
      </c>
      <c r="I376" s="3">
        <v>55.92</v>
      </c>
      <c r="J376" s="3">
        <v>10.56</v>
      </c>
      <c r="K376" s="3">
        <v>23</v>
      </c>
      <c r="L376" s="3">
        <v>55</v>
      </c>
      <c r="M376" s="3">
        <v>11.257999999999999</v>
      </c>
      <c r="N376" s="3">
        <v>32.4</v>
      </c>
      <c r="O376" s="3">
        <v>72.13</v>
      </c>
      <c r="P376" s="3">
        <v>91.057293720000004</v>
      </c>
      <c r="Q376" s="3">
        <v>24.92424522</v>
      </c>
      <c r="R376" s="3">
        <v>54.17</v>
      </c>
      <c r="S376" s="3">
        <v>117.2436946</v>
      </c>
      <c r="T376" s="3">
        <v>33.96825724</v>
      </c>
      <c r="U376" s="3">
        <v>77.030162412993036</v>
      </c>
      <c r="V376" s="3">
        <v>3.5</v>
      </c>
      <c r="W376" s="3">
        <v>18.626000000000001</v>
      </c>
      <c r="X376" s="3">
        <v>62.940176780000002</v>
      </c>
      <c r="Y376" s="3"/>
    </row>
    <row r="377" spans="1:25" x14ac:dyDescent="0.3">
      <c r="A377" s="2" t="s">
        <v>419</v>
      </c>
      <c r="B377" s="2" t="s">
        <v>30</v>
      </c>
      <c r="C377" s="2" t="s">
        <v>39</v>
      </c>
      <c r="D377" s="2" t="s">
        <v>47</v>
      </c>
      <c r="E377" s="2">
        <v>2</v>
      </c>
      <c r="F377" s="2">
        <v>3</v>
      </c>
      <c r="G377" s="2">
        <v>10</v>
      </c>
      <c r="H377" s="2">
        <v>1</v>
      </c>
      <c r="I377" s="3">
        <v>56.15</v>
      </c>
      <c r="J377" s="3">
        <v>17.010000000000002</v>
      </c>
      <c r="K377" s="3">
        <v>24</v>
      </c>
      <c r="L377" s="3">
        <v>50</v>
      </c>
      <c r="M377" s="3">
        <v>13.858000000000001</v>
      </c>
      <c r="N377" s="3">
        <v>45.9</v>
      </c>
      <c r="O377" s="3">
        <v>80.38</v>
      </c>
      <c r="P377" s="3">
        <v>104.44294259999999</v>
      </c>
      <c r="Q377" s="3">
        <v>19.902979349999999</v>
      </c>
      <c r="R377" s="3">
        <v>51.69</v>
      </c>
      <c r="S377" s="3">
        <v>120.9395985</v>
      </c>
      <c r="T377" s="3">
        <v>41.156234040000001</v>
      </c>
      <c r="U377" s="3">
        <v>83.972125435540065</v>
      </c>
      <c r="V377" s="3">
        <v>4.5</v>
      </c>
      <c r="W377" s="3">
        <v>20.5154</v>
      </c>
      <c r="X377" s="3">
        <v>53.165746769999998</v>
      </c>
      <c r="Y377" s="3"/>
    </row>
    <row r="378" spans="1:25" x14ac:dyDescent="0.3">
      <c r="A378" s="2" t="s">
        <v>420</v>
      </c>
      <c r="B378" s="2" t="s">
        <v>30</v>
      </c>
      <c r="C378" s="2" t="s">
        <v>39</v>
      </c>
      <c r="D378" s="2" t="s">
        <v>47</v>
      </c>
      <c r="E378" s="2">
        <v>2</v>
      </c>
      <c r="F378" s="2">
        <v>3</v>
      </c>
      <c r="G378" s="2">
        <v>10</v>
      </c>
      <c r="H378" s="2">
        <v>2</v>
      </c>
      <c r="I378" s="3">
        <v>51.28</v>
      </c>
      <c r="J378" s="3">
        <v>16.399999999999999</v>
      </c>
      <c r="K378" s="3">
        <v>23</v>
      </c>
      <c r="L378" s="3">
        <v>56</v>
      </c>
      <c r="M378" s="3">
        <v>13.678000000000001</v>
      </c>
      <c r="N378" s="3">
        <v>37.4</v>
      </c>
      <c r="O378" s="3">
        <v>78.52</v>
      </c>
      <c r="P378" s="3">
        <v>105.8882347</v>
      </c>
      <c r="Q378" s="3">
        <v>19.679803716999999</v>
      </c>
      <c r="R378" s="3">
        <v>50.19</v>
      </c>
      <c r="S378" s="3">
        <v>121.1067942</v>
      </c>
      <c r="T378" s="3">
        <v>39.07950486</v>
      </c>
      <c r="U378" s="3">
        <v>75.723830734966597</v>
      </c>
      <c r="V378" s="3">
        <v>5</v>
      </c>
      <c r="W378" s="3">
        <v>22.7532</v>
      </c>
      <c r="X378" s="3">
        <v>64.281294880000004</v>
      </c>
      <c r="Y378" s="3"/>
    </row>
    <row r="379" spans="1:25" x14ac:dyDescent="0.3">
      <c r="A379" s="2" t="s">
        <v>421</v>
      </c>
      <c r="B379" s="2" t="s">
        <v>30</v>
      </c>
      <c r="C379" s="2" t="s">
        <v>39</v>
      </c>
      <c r="D379" s="2" t="s">
        <v>47</v>
      </c>
      <c r="E379" s="2">
        <v>2</v>
      </c>
      <c r="F379" s="2">
        <v>3</v>
      </c>
      <c r="G379" s="2">
        <v>10</v>
      </c>
      <c r="H379" s="2">
        <v>3</v>
      </c>
      <c r="I379" s="3">
        <v>44.09</v>
      </c>
      <c r="J379" s="3">
        <v>12.57</v>
      </c>
      <c r="K379" s="3">
        <v>25</v>
      </c>
      <c r="L379" s="3">
        <v>50</v>
      </c>
      <c r="M379" s="3">
        <v>12.003</v>
      </c>
      <c r="N379" s="3">
        <v>53.1</v>
      </c>
      <c r="O379" s="3">
        <v>76.23</v>
      </c>
      <c r="P379" s="3">
        <v>108.12939280000001</v>
      </c>
      <c r="Q379" s="3">
        <v>18.901937991</v>
      </c>
      <c r="R379" s="3">
        <v>59.76</v>
      </c>
      <c r="S379" s="3">
        <v>116.55933589999999</v>
      </c>
      <c r="T379" s="3">
        <v>47.07817541</v>
      </c>
      <c r="U379" s="3">
        <v>82.2550831792976</v>
      </c>
      <c r="V379" s="3">
        <v>5</v>
      </c>
      <c r="W379" s="3">
        <v>20.113399999999999</v>
      </c>
      <c r="X379" s="3">
        <v>64.140285449999993</v>
      </c>
      <c r="Y379" s="3"/>
    </row>
    <row r="380" spans="1:25" x14ac:dyDescent="0.3">
      <c r="A380" s="2" t="s">
        <v>422</v>
      </c>
      <c r="B380" s="2" t="s">
        <v>30</v>
      </c>
      <c r="C380" s="2" t="s">
        <v>39</v>
      </c>
      <c r="D380" s="2" t="s">
        <v>47</v>
      </c>
      <c r="E380" s="2">
        <v>2</v>
      </c>
      <c r="F380" s="2">
        <v>3</v>
      </c>
      <c r="G380" s="2">
        <v>10</v>
      </c>
      <c r="H380" s="2">
        <v>4</v>
      </c>
      <c r="I380" s="3">
        <v>53.07</v>
      </c>
      <c r="J380" s="3">
        <v>20.41</v>
      </c>
      <c r="K380" s="3">
        <v>23</v>
      </c>
      <c r="L380" s="3">
        <v>54</v>
      </c>
      <c r="M380" s="3">
        <v>13.545999999999999</v>
      </c>
      <c r="N380" s="3">
        <v>46.2</v>
      </c>
      <c r="O380" s="3">
        <v>73.28</v>
      </c>
      <c r="P380" s="3">
        <v>109.8061522</v>
      </c>
      <c r="Q380" s="3">
        <v>18.588044015000001</v>
      </c>
      <c r="R380" s="3">
        <v>50.46</v>
      </c>
      <c r="S380" s="3">
        <v>120.651377</v>
      </c>
      <c r="T380" s="3">
        <v>36.836727600000003</v>
      </c>
      <c r="U380" s="3">
        <v>82.269503546099287</v>
      </c>
      <c r="V380" s="3">
        <v>5.5</v>
      </c>
      <c r="W380" s="3">
        <v>21.118400000000001</v>
      </c>
      <c r="X380" s="3">
        <v>59.530822010000001</v>
      </c>
      <c r="Y380" s="3"/>
    </row>
    <row r="381" spans="1:25" x14ac:dyDescent="0.3">
      <c r="A381" s="2" t="s">
        <v>423</v>
      </c>
      <c r="B381" s="2" t="s">
        <v>30</v>
      </c>
      <c r="C381" s="2" t="s">
        <v>39</v>
      </c>
      <c r="D381" s="2" t="s">
        <v>47</v>
      </c>
      <c r="E381" s="2">
        <v>2</v>
      </c>
      <c r="F381" s="2">
        <v>3</v>
      </c>
      <c r="G381" s="2">
        <v>10</v>
      </c>
      <c r="H381" s="2">
        <v>5</v>
      </c>
      <c r="I381" s="3">
        <v>49.71</v>
      </c>
      <c r="J381" s="3">
        <v>18.940000000000001</v>
      </c>
      <c r="K381" s="3">
        <v>25</v>
      </c>
      <c r="L381" s="3">
        <v>55</v>
      </c>
      <c r="M381" s="3">
        <v>7.9859</v>
      </c>
      <c r="N381" s="3">
        <v>54.6</v>
      </c>
      <c r="O381" s="3">
        <v>80.31</v>
      </c>
      <c r="P381" s="3">
        <v>104.8485273</v>
      </c>
      <c r="Q381" s="3">
        <v>18.038438902999999</v>
      </c>
      <c r="R381" s="3">
        <v>46.63</v>
      </c>
      <c r="S381" s="3">
        <v>124.58401859999999</v>
      </c>
      <c r="T381" s="3">
        <v>34.653568360000001</v>
      </c>
      <c r="U381" s="3">
        <v>76.865671641791039</v>
      </c>
      <c r="V381" s="3">
        <v>6.5</v>
      </c>
      <c r="W381" s="3">
        <v>21.078199999999999</v>
      </c>
      <c r="X381" s="3">
        <v>64.234774990000005</v>
      </c>
      <c r="Y381" s="3"/>
    </row>
    <row r="382" spans="1:25" x14ac:dyDescent="0.3">
      <c r="A382" s="2" t="s">
        <v>424</v>
      </c>
      <c r="B382" s="2" t="s">
        <v>150</v>
      </c>
      <c r="C382" s="2" t="s">
        <v>143</v>
      </c>
      <c r="D382" s="2" t="s">
        <v>163</v>
      </c>
      <c r="E382" s="2">
        <v>2</v>
      </c>
      <c r="F382" s="2">
        <v>4</v>
      </c>
      <c r="G382" s="2">
        <v>14</v>
      </c>
      <c r="H382" s="2">
        <v>1</v>
      </c>
      <c r="I382" s="3">
        <v>29.57</v>
      </c>
      <c r="J382" s="3">
        <v>12.48</v>
      </c>
      <c r="K382" s="3">
        <v>24</v>
      </c>
      <c r="L382" s="3">
        <v>46</v>
      </c>
      <c r="M382" s="3">
        <v>4.6696</v>
      </c>
      <c r="N382" s="3">
        <v>34</v>
      </c>
      <c r="O382" s="3">
        <v>60.52</v>
      </c>
      <c r="P382" s="3">
        <v>78.275345099999996</v>
      </c>
      <c r="Q382" s="3">
        <v>16.534984120000001</v>
      </c>
      <c r="R382" s="3">
        <v>62.79</v>
      </c>
      <c r="S382" s="3">
        <v>113.5339177</v>
      </c>
      <c r="T382" s="3"/>
      <c r="U382" s="3">
        <v>54.861111111111107</v>
      </c>
      <c r="V382" s="3">
        <v>4</v>
      </c>
      <c r="W382" s="3">
        <v>19.161999999999999</v>
      </c>
      <c r="X382" s="3">
        <v>38.311600300000002</v>
      </c>
      <c r="Y382" s="3"/>
    </row>
    <row r="383" spans="1:25" x14ac:dyDescent="0.3">
      <c r="A383" s="2" t="s">
        <v>425</v>
      </c>
      <c r="B383" s="2" t="s">
        <v>150</v>
      </c>
      <c r="C383" s="2" t="s">
        <v>143</v>
      </c>
      <c r="D383" s="2" t="s">
        <v>163</v>
      </c>
      <c r="E383" s="2">
        <v>2</v>
      </c>
      <c r="F383" s="2">
        <v>4</v>
      </c>
      <c r="G383" s="2">
        <v>14</v>
      </c>
      <c r="H383" s="2">
        <v>2</v>
      </c>
      <c r="I383" s="3">
        <v>35.68</v>
      </c>
      <c r="J383" s="3">
        <v>11.3</v>
      </c>
      <c r="K383" s="3">
        <v>20</v>
      </c>
      <c r="L383" s="3">
        <v>50</v>
      </c>
      <c r="M383" s="3">
        <v>10.471</v>
      </c>
      <c r="N383" s="3">
        <v>19.399999999999999</v>
      </c>
      <c r="O383" s="3">
        <v>69.349999999999994</v>
      </c>
      <c r="P383" s="3"/>
      <c r="Q383" s="3">
        <v>20.648961230000001</v>
      </c>
      <c r="R383" s="3">
        <v>60.36</v>
      </c>
      <c r="S383" s="3">
        <v>116.4338037</v>
      </c>
      <c r="T383" s="3">
        <v>33.039948879999997</v>
      </c>
      <c r="U383" s="3">
        <v>56.65961945031713</v>
      </c>
      <c r="V383" s="3">
        <v>3.5</v>
      </c>
      <c r="W383" s="3">
        <v>25.88880000000001</v>
      </c>
      <c r="X383" s="3">
        <v>35.075339200000002</v>
      </c>
      <c r="Y383" s="3"/>
    </row>
    <row r="384" spans="1:25" x14ac:dyDescent="0.3">
      <c r="A384" s="2" t="s">
        <v>426</v>
      </c>
      <c r="B384" s="2" t="s">
        <v>150</v>
      </c>
      <c r="C384" s="2" t="s">
        <v>143</v>
      </c>
      <c r="D384" s="2" t="s">
        <v>163</v>
      </c>
      <c r="E384" s="2">
        <v>2</v>
      </c>
      <c r="F384" s="2">
        <v>4</v>
      </c>
      <c r="G384" s="2">
        <v>14</v>
      </c>
      <c r="H384" s="2">
        <v>3</v>
      </c>
      <c r="I384" s="3">
        <v>39.07</v>
      </c>
      <c r="J384" s="3">
        <v>11.28</v>
      </c>
      <c r="K384" s="3">
        <v>22</v>
      </c>
      <c r="L384" s="3">
        <v>49</v>
      </c>
      <c r="M384" s="3">
        <v>6.2450000000000001</v>
      </c>
      <c r="N384" s="3">
        <v>23</v>
      </c>
      <c r="O384" s="3">
        <v>66.34</v>
      </c>
      <c r="P384" s="3">
        <v>78.601449220000006</v>
      </c>
      <c r="Q384" s="3">
        <v>22.87109092</v>
      </c>
      <c r="R384" s="3">
        <v>62.08</v>
      </c>
      <c r="S384" s="3">
        <v>113.5916663</v>
      </c>
      <c r="T384" s="3">
        <v>37.160062590000003</v>
      </c>
      <c r="U384" s="3">
        <v>52.744630071599047</v>
      </c>
      <c r="V384" s="3">
        <v>4</v>
      </c>
      <c r="W384" s="3">
        <v>19.778400000000001</v>
      </c>
      <c r="X384" s="3">
        <v>29.330841979999999</v>
      </c>
      <c r="Y384" s="3"/>
    </row>
    <row r="385" spans="1:25" x14ac:dyDescent="0.3">
      <c r="A385" s="2" t="s">
        <v>427</v>
      </c>
      <c r="B385" s="2" t="s">
        <v>150</v>
      </c>
      <c r="C385" s="2" t="s">
        <v>143</v>
      </c>
      <c r="D385" s="2" t="s">
        <v>163</v>
      </c>
      <c r="E385" s="2">
        <v>2</v>
      </c>
      <c r="F385" s="2">
        <v>4</v>
      </c>
      <c r="G385" s="2">
        <v>14</v>
      </c>
      <c r="H385" s="2">
        <v>4</v>
      </c>
      <c r="I385" s="3">
        <v>34.49</v>
      </c>
      <c r="J385" s="3">
        <v>12.25</v>
      </c>
      <c r="K385" s="3">
        <v>22</v>
      </c>
      <c r="L385" s="3">
        <v>46</v>
      </c>
      <c r="M385" s="3">
        <v>12.074999999999999</v>
      </c>
      <c r="N385" s="3">
        <v>23.2</v>
      </c>
      <c r="O385" s="3">
        <v>65.34</v>
      </c>
      <c r="P385" s="3">
        <v>84.132010500000007</v>
      </c>
      <c r="Q385" s="3">
        <v>23.573514800000002</v>
      </c>
      <c r="R385" s="3">
        <v>62.74</v>
      </c>
      <c r="S385" s="3">
        <v>114.51967399999999</v>
      </c>
      <c r="T385" s="3">
        <v>30.57758166</v>
      </c>
      <c r="U385" s="3">
        <v>51.682692307692307</v>
      </c>
      <c r="V385" s="3">
        <v>4</v>
      </c>
      <c r="W385" s="3">
        <v>22.766600000000011</v>
      </c>
      <c r="X385" s="3">
        <v>37.956985340000003</v>
      </c>
      <c r="Y385" s="3"/>
    </row>
    <row r="386" spans="1:25" x14ac:dyDescent="0.3">
      <c r="A386" s="2" t="s">
        <v>428</v>
      </c>
      <c r="B386" s="2" t="s">
        <v>150</v>
      </c>
      <c r="C386" s="2" t="s">
        <v>143</v>
      </c>
      <c r="D386" s="2" t="s">
        <v>163</v>
      </c>
      <c r="E386" s="2">
        <v>2</v>
      </c>
      <c r="F386" s="2">
        <v>4</v>
      </c>
      <c r="G386" s="2">
        <v>14</v>
      </c>
      <c r="H386" s="2">
        <v>5</v>
      </c>
      <c r="I386" s="3">
        <v>25.78</v>
      </c>
      <c r="J386" s="3">
        <v>11.84</v>
      </c>
      <c r="K386" s="3">
        <v>24</v>
      </c>
      <c r="L386" s="3">
        <v>50</v>
      </c>
      <c r="M386" s="3">
        <v>13.804</v>
      </c>
      <c r="N386" s="3">
        <v>9.8000000000000007</v>
      </c>
      <c r="O386" s="3">
        <v>65.58</v>
      </c>
      <c r="P386" s="3"/>
      <c r="Q386" s="3">
        <v>17.01044679</v>
      </c>
      <c r="R386" s="3">
        <v>63.32</v>
      </c>
      <c r="S386" s="3">
        <v>114.78180759999999</v>
      </c>
      <c r="T386" s="3">
        <v>40.38952587</v>
      </c>
      <c r="U386" s="3">
        <v>60.606060606060609</v>
      </c>
      <c r="V386" s="3">
        <v>3.5</v>
      </c>
      <c r="W386" s="3">
        <v>24.682800000000011</v>
      </c>
      <c r="X386" s="3">
        <v>28.630675530000001</v>
      </c>
      <c r="Y386" s="3"/>
    </row>
    <row r="387" spans="1:25" x14ac:dyDescent="0.3">
      <c r="A387" s="2" t="s">
        <v>429</v>
      </c>
      <c r="B387" s="2" t="s">
        <v>30</v>
      </c>
      <c r="C387" s="2" t="s">
        <v>39</v>
      </c>
      <c r="D387" s="2" t="s">
        <v>40</v>
      </c>
      <c r="E387" s="2">
        <v>2</v>
      </c>
      <c r="F387" s="2">
        <v>4</v>
      </c>
      <c r="G387" s="2">
        <v>14</v>
      </c>
      <c r="H387" s="2">
        <v>1</v>
      </c>
      <c r="I387" s="3">
        <v>37.799999999999997</v>
      </c>
      <c r="J387" s="3"/>
      <c r="K387" s="3">
        <v>21</v>
      </c>
      <c r="L387" s="3">
        <v>55</v>
      </c>
      <c r="M387" s="3">
        <v>20.87</v>
      </c>
      <c r="N387" s="3">
        <v>44</v>
      </c>
      <c r="O387" s="3">
        <v>65.5</v>
      </c>
      <c r="P387" s="3">
        <v>79.148153649999998</v>
      </c>
      <c r="Q387" s="3">
        <v>21.087081349999998</v>
      </c>
      <c r="R387" s="3">
        <v>51.71</v>
      </c>
      <c r="S387" s="3">
        <v>120.89107199999999</v>
      </c>
      <c r="T387" s="3">
        <v>38.00068684</v>
      </c>
      <c r="U387" s="3">
        <v>53.243847874720359</v>
      </c>
      <c r="V387" s="3">
        <v>10</v>
      </c>
      <c r="W387" s="3">
        <v>24.4148</v>
      </c>
      <c r="X387" s="3">
        <v>54.206027740000003</v>
      </c>
      <c r="Y387" s="3"/>
    </row>
    <row r="388" spans="1:25" x14ac:dyDescent="0.3">
      <c r="A388" s="2" t="s">
        <v>430</v>
      </c>
      <c r="B388" s="2" t="s">
        <v>30</v>
      </c>
      <c r="C388" s="2" t="s">
        <v>39</v>
      </c>
      <c r="D388" s="2" t="s">
        <v>40</v>
      </c>
      <c r="E388" s="2">
        <v>2</v>
      </c>
      <c r="F388" s="2">
        <v>4</v>
      </c>
      <c r="G388" s="2">
        <v>14</v>
      </c>
      <c r="H388" s="2">
        <v>2</v>
      </c>
      <c r="I388" s="3">
        <v>51.63</v>
      </c>
      <c r="J388" s="3">
        <v>19.309999999999999</v>
      </c>
      <c r="K388" s="3">
        <v>23</v>
      </c>
      <c r="L388" s="3">
        <v>50</v>
      </c>
      <c r="M388" s="3">
        <v>10.536</v>
      </c>
      <c r="N388" s="3">
        <v>61.9</v>
      </c>
      <c r="O388" s="3">
        <v>72.41</v>
      </c>
      <c r="P388" s="3">
        <v>87.51853054</v>
      </c>
      <c r="Q388" s="3">
        <v>21.01970742</v>
      </c>
      <c r="R388" s="3">
        <v>46.31</v>
      </c>
      <c r="S388" s="3">
        <v>120.7869529</v>
      </c>
      <c r="T388" s="3">
        <v>37.295974309999998</v>
      </c>
      <c r="U388" s="3">
        <v>55.227272727272727</v>
      </c>
      <c r="V388" s="3">
        <v>5.5</v>
      </c>
      <c r="W388" s="3">
        <v>18.4116</v>
      </c>
      <c r="X388" s="3">
        <v>31.879727729999999</v>
      </c>
      <c r="Y388" s="3"/>
    </row>
    <row r="389" spans="1:25" x14ac:dyDescent="0.3">
      <c r="A389" s="2" t="s">
        <v>431</v>
      </c>
      <c r="B389" s="2" t="s">
        <v>30</v>
      </c>
      <c r="C389" s="2" t="s">
        <v>39</v>
      </c>
      <c r="D389" s="2" t="s">
        <v>40</v>
      </c>
      <c r="E389" s="2">
        <v>2</v>
      </c>
      <c r="F389" s="2">
        <v>4</v>
      </c>
      <c r="G389" s="2">
        <v>14</v>
      </c>
      <c r="H389" s="2">
        <v>3</v>
      </c>
      <c r="I389" s="3">
        <v>37.58</v>
      </c>
      <c r="J389" s="3">
        <v>14.13</v>
      </c>
      <c r="K389" s="3">
        <v>23</v>
      </c>
      <c r="L389" s="3">
        <v>60</v>
      </c>
      <c r="M389" s="3">
        <v>10.762</v>
      </c>
      <c r="N389" s="3">
        <v>49.6</v>
      </c>
      <c r="O389" s="3">
        <v>67.98</v>
      </c>
      <c r="P389" s="3">
        <v>92.603254710000002</v>
      </c>
      <c r="Q389" s="3">
        <v>28.619540529999998</v>
      </c>
      <c r="R389" s="3">
        <v>47.63</v>
      </c>
      <c r="S389" s="3">
        <v>121.5258735</v>
      </c>
      <c r="T389" s="3">
        <v>35.992426979999998</v>
      </c>
      <c r="U389" s="3">
        <v>58.452138492871683</v>
      </c>
      <c r="V389" s="3">
        <v>7</v>
      </c>
      <c r="W389" s="3">
        <v>28.756399999999999</v>
      </c>
      <c r="X389" s="3">
        <v>48.205745210000003</v>
      </c>
      <c r="Y389" s="3"/>
    </row>
    <row r="390" spans="1:25" x14ac:dyDescent="0.3">
      <c r="A390" s="2" t="s">
        <v>432</v>
      </c>
      <c r="B390" s="2" t="s">
        <v>30</v>
      </c>
      <c r="C390" s="2" t="s">
        <v>39</v>
      </c>
      <c r="D390" s="2" t="s">
        <v>40</v>
      </c>
      <c r="E390" s="2">
        <v>2</v>
      </c>
      <c r="F390" s="2">
        <v>4</v>
      </c>
      <c r="G390" s="2">
        <v>14</v>
      </c>
      <c r="H390" s="2">
        <v>4</v>
      </c>
      <c r="I390" s="3">
        <v>43.7</v>
      </c>
      <c r="J390" s="3">
        <v>17.73</v>
      </c>
      <c r="K390" s="3">
        <v>21</v>
      </c>
      <c r="L390" s="3">
        <v>46</v>
      </c>
      <c r="M390" s="3">
        <v>16.95</v>
      </c>
      <c r="N390" s="3">
        <v>27.8</v>
      </c>
      <c r="O390" s="3">
        <v>68.790000000000006</v>
      </c>
      <c r="P390" s="3">
        <v>78.201024680000003</v>
      </c>
      <c r="Q390" s="3">
        <v>25.28421247</v>
      </c>
      <c r="R390" s="3">
        <v>59.83</v>
      </c>
      <c r="S390" s="3">
        <v>116.471338</v>
      </c>
      <c r="T390" s="3">
        <v>46.617607190000001</v>
      </c>
      <c r="U390" s="3">
        <v>57.905544147843948</v>
      </c>
      <c r="V390" s="3">
        <v>5</v>
      </c>
      <c r="W390" s="3">
        <v>22.17700000000001</v>
      </c>
      <c r="X390" s="3">
        <v>58.289006550000003</v>
      </c>
      <c r="Y390" s="3"/>
    </row>
    <row r="391" spans="1:25" x14ac:dyDescent="0.3">
      <c r="A391" s="2" t="s">
        <v>433</v>
      </c>
      <c r="B391" s="2" t="s">
        <v>30</v>
      </c>
      <c r="C391" s="2" t="s">
        <v>39</v>
      </c>
      <c r="D391" s="2" t="s">
        <v>40</v>
      </c>
      <c r="E391" s="2">
        <v>2</v>
      </c>
      <c r="F391" s="2">
        <v>4</v>
      </c>
      <c r="G391" s="2">
        <v>14</v>
      </c>
      <c r="H391" s="2">
        <v>5</v>
      </c>
      <c r="I391" s="3">
        <v>50.75</v>
      </c>
      <c r="J391" s="3">
        <v>18.82</v>
      </c>
      <c r="K391" s="3">
        <v>20</v>
      </c>
      <c r="L391" s="3">
        <v>50</v>
      </c>
      <c r="M391" s="3">
        <v>27.753</v>
      </c>
      <c r="N391" s="3">
        <v>44.3</v>
      </c>
      <c r="O391" s="3">
        <v>57.72</v>
      </c>
      <c r="P391" s="3">
        <v>71.504888410000007</v>
      </c>
      <c r="Q391" s="3">
        <v>30.199768209999998</v>
      </c>
      <c r="R391" s="3">
        <v>54.43</v>
      </c>
      <c r="S391" s="3">
        <v>117.7269944</v>
      </c>
      <c r="T391" s="3">
        <v>46.081424669999997</v>
      </c>
      <c r="U391" s="3">
        <v>56.964656964656967</v>
      </c>
      <c r="V391" s="3">
        <v>5</v>
      </c>
      <c r="W391" s="3">
        <v>25.808399999999999</v>
      </c>
      <c r="X391" s="3">
        <v>42.943240369999998</v>
      </c>
      <c r="Y391" s="3"/>
    </row>
    <row r="392" spans="1:25" x14ac:dyDescent="0.3">
      <c r="A392" s="2" t="s">
        <v>434</v>
      </c>
      <c r="B392" s="2" t="s">
        <v>30</v>
      </c>
      <c r="C392" s="2" t="s">
        <v>31</v>
      </c>
      <c r="D392" s="2" t="s">
        <v>32</v>
      </c>
      <c r="E392" s="2">
        <v>2</v>
      </c>
      <c r="F392" s="2">
        <v>4</v>
      </c>
      <c r="G392" s="2">
        <v>14</v>
      </c>
      <c r="H392" s="2">
        <v>1</v>
      </c>
      <c r="I392" s="3">
        <v>31.38</v>
      </c>
      <c r="J392" s="3">
        <v>18.920000000000002</v>
      </c>
      <c r="K392" s="3">
        <v>20</v>
      </c>
      <c r="L392" s="3">
        <v>45</v>
      </c>
      <c r="M392" s="3">
        <v>21.603000000000002</v>
      </c>
      <c r="N392" s="3">
        <v>55.4</v>
      </c>
      <c r="O392" s="3">
        <v>71.23</v>
      </c>
      <c r="P392" s="3">
        <v>81.382053110000001</v>
      </c>
      <c r="Q392" s="3">
        <v>24.425767130000001</v>
      </c>
      <c r="R392" s="3">
        <v>48.14</v>
      </c>
      <c r="S392" s="3">
        <v>125.5417199</v>
      </c>
      <c r="T392" s="3">
        <v>30.72425101</v>
      </c>
      <c r="U392" s="3">
        <v>52.477477477477493</v>
      </c>
      <c r="V392" s="3">
        <v>6</v>
      </c>
      <c r="W392" s="3">
        <v>22.002800000000001</v>
      </c>
      <c r="X392" s="3">
        <v>45.341161409999998</v>
      </c>
      <c r="Y392" s="3"/>
    </row>
    <row r="393" spans="1:25" x14ac:dyDescent="0.3">
      <c r="A393" s="2" t="s">
        <v>435</v>
      </c>
      <c r="B393" s="2" t="s">
        <v>30</v>
      </c>
      <c r="C393" s="2" t="s">
        <v>31</v>
      </c>
      <c r="D393" s="2" t="s">
        <v>32</v>
      </c>
      <c r="E393" s="2">
        <v>2</v>
      </c>
      <c r="F393" s="2">
        <v>4</v>
      </c>
      <c r="G393" s="2">
        <v>14</v>
      </c>
      <c r="H393" s="2">
        <v>2</v>
      </c>
      <c r="I393" s="3">
        <v>40.43</v>
      </c>
      <c r="J393" s="3">
        <v>18.809999999999999</v>
      </c>
      <c r="K393" s="3">
        <v>23</v>
      </c>
      <c r="L393" s="3">
        <v>50</v>
      </c>
      <c r="M393" s="3">
        <v>10.923999999999999</v>
      </c>
      <c r="N393" s="3">
        <v>31.8</v>
      </c>
      <c r="O393" s="3">
        <v>64.430000000000007</v>
      </c>
      <c r="P393" s="3">
        <v>78.567086149999994</v>
      </c>
      <c r="Q393" s="3">
        <v>26.536535189999999</v>
      </c>
      <c r="R393" s="3">
        <v>53.38</v>
      </c>
      <c r="S393" s="3">
        <v>119.05432570000001</v>
      </c>
      <c r="T393" s="3">
        <v>42.212083579999998</v>
      </c>
      <c r="U393" s="3">
        <v>52.400835073068883</v>
      </c>
      <c r="V393" s="3">
        <v>8</v>
      </c>
      <c r="W393" s="3">
        <v>28.207000000000001</v>
      </c>
      <c r="X393" s="3">
        <v>32.350906600000002</v>
      </c>
      <c r="Y393" s="3"/>
    </row>
    <row r="394" spans="1:25" x14ac:dyDescent="0.3">
      <c r="A394" s="2" t="s">
        <v>436</v>
      </c>
      <c r="B394" s="2" t="s">
        <v>30</v>
      </c>
      <c r="C394" s="2" t="s">
        <v>31</v>
      </c>
      <c r="D394" s="2" t="s">
        <v>32</v>
      </c>
      <c r="E394" s="2">
        <v>2</v>
      </c>
      <c r="F394" s="2">
        <v>4</v>
      </c>
      <c r="G394" s="2">
        <v>14</v>
      </c>
      <c r="H394" s="2">
        <v>3</v>
      </c>
      <c r="I394" s="3">
        <v>46.42</v>
      </c>
      <c r="J394" s="3">
        <v>14.31</v>
      </c>
      <c r="K394" s="3">
        <v>22</v>
      </c>
      <c r="L394" s="3">
        <v>46</v>
      </c>
      <c r="M394" s="3">
        <v>24.37</v>
      </c>
      <c r="N394" s="3">
        <v>33.6</v>
      </c>
      <c r="O394" s="3"/>
      <c r="P394" s="3">
        <v>71.855253189999999</v>
      </c>
      <c r="Q394" s="3">
        <v>27.45524722</v>
      </c>
      <c r="R394" s="3">
        <v>55.17</v>
      </c>
      <c r="S394" s="3">
        <v>118.3405686</v>
      </c>
      <c r="T394" s="3">
        <v>39.686905899999999</v>
      </c>
      <c r="U394" s="3">
        <v>53.430353430353406</v>
      </c>
      <c r="V394" s="3">
        <v>6</v>
      </c>
      <c r="W394" s="3">
        <v>22.016200000000001</v>
      </c>
      <c r="X394" s="3">
        <v>21.25498374</v>
      </c>
      <c r="Y394" s="3"/>
    </row>
    <row r="395" spans="1:25" x14ac:dyDescent="0.3">
      <c r="A395" s="2" t="s">
        <v>437</v>
      </c>
      <c r="B395" s="2" t="s">
        <v>30</v>
      </c>
      <c r="C395" s="2" t="s">
        <v>31</v>
      </c>
      <c r="D395" s="2" t="s">
        <v>32</v>
      </c>
      <c r="E395" s="2">
        <v>2</v>
      </c>
      <c r="F395" s="2">
        <v>4</v>
      </c>
      <c r="G395" s="2">
        <v>14</v>
      </c>
      <c r="H395" s="2">
        <v>4</v>
      </c>
      <c r="I395" s="3">
        <v>33.020000000000003</v>
      </c>
      <c r="J395" s="3">
        <v>16.16</v>
      </c>
      <c r="K395" s="3">
        <v>21</v>
      </c>
      <c r="L395" s="3">
        <v>53</v>
      </c>
      <c r="M395" s="3">
        <v>20.172000000000001</v>
      </c>
      <c r="N395" s="3">
        <v>48.7</v>
      </c>
      <c r="O395" s="3">
        <v>67.94</v>
      </c>
      <c r="P395" s="3">
        <v>106.7296271</v>
      </c>
      <c r="Q395" s="3">
        <v>12.540821340000001</v>
      </c>
      <c r="R395" s="3">
        <v>58.95</v>
      </c>
      <c r="S395" s="3">
        <v>117.9606071</v>
      </c>
      <c r="T395" s="3">
        <v>41.674784940000002</v>
      </c>
      <c r="U395" s="3">
        <v>50.60532687651331</v>
      </c>
      <c r="V395" s="3">
        <v>7</v>
      </c>
      <c r="W395" s="3">
        <v>24.026199999999999</v>
      </c>
      <c r="X395" s="3">
        <v>82.089575830000001</v>
      </c>
      <c r="Y395" s="3"/>
    </row>
    <row r="396" spans="1:25" x14ac:dyDescent="0.3">
      <c r="A396" s="2" t="s">
        <v>438</v>
      </c>
      <c r="B396" s="2" t="s">
        <v>30</v>
      </c>
      <c r="C396" s="2" t="s">
        <v>31</v>
      </c>
      <c r="D396" s="2" t="s">
        <v>32</v>
      </c>
      <c r="E396" s="2">
        <v>2</v>
      </c>
      <c r="F396" s="2">
        <v>4</v>
      </c>
      <c r="G396" s="2">
        <v>14</v>
      </c>
      <c r="H396" s="2">
        <v>5</v>
      </c>
      <c r="I396" s="3">
        <v>50.18</v>
      </c>
      <c r="J396" s="3">
        <v>20.86</v>
      </c>
      <c r="K396" s="3">
        <v>20</v>
      </c>
      <c r="L396" s="3">
        <v>46</v>
      </c>
      <c r="M396" s="3">
        <v>15.532299999999999</v>
      </c>
      <c r="N396" s="3">
        <v>49.6</v>
      </c>
      <c r="O396" s="3">
        <v>69.92</v>
      </c>
      <c r="P396" s="3">
        <v>76.72364322</v>
      </c>
      <c r="Q396" s="3">
        <v>28.52227375</v>
      </c>
      <c r="R396" s="3">
        <v>48.16</v>
      </c>
      <c r="S396" s="3">
        <v>125.4032837</v>
      </c>
      <c r="T396" s="3">
        <v>30.79408385</v>
      </c>
      <c r="U396" s="3">
        <v>54.095238095238088</v>
      </c>
      <c r="V396" s="3">
        <v>7.5</v>
      </c>
      <c r="W396" s="3">
        <v>25.031199999999998</v>
      </c>
      <c r="X396" s="3">
        <v>69.212992240000005</v>
      </c>
      <c r="Y396" s="3"/>
    </row>
    <row r="397" spans="1:25" x14ac:dyDescent="0.3">
      <c r="A397" s="2" t="s">
        <v>439</v>
      </c>
      <c r="B397" s="2" t="s">
        <v>30</v>
      </c>
      <c r="C397" s="2" t="s">
        <v>143</v>
      </c>
      <c r="D397" s="2" t="s">
        <v>144</v>
      </c>
      <c r="E397" s="2">
        <v>2</v>
      </c>
      <c r="F397" s="2">
        <v>4</v>
      </c>
      <c r="G397" s="2">
        <v>14</v>
      </c>
      <c r="H397" s="2">
        <v>1</v>
      </c>
      <c r="I397" s="3">
        <v>35.04</v>
      </c>
      <c r="J397" s="3">
        <v>15.64</v>
      </c>
      <c r="K397" s="3">
        <v>23</v>
      </c>
      <c r="L397" s="3">
        <v>45</v>
      </c>
      <c r="M397" s="3"/>
      <c r="N397" s="3"/>
      <c r="O397" s="3">
        <v>71.11</v>
      </c>
      <c r="P397" s="3">
        <v>110.4171216</v>
      </c>
      <c r="Q397" s="3">
        <v>14.99184445</v>
      </c>
      <c r="R397" s="3">
        <v>56.61</v>
      </c>
      <c r="S397" s="3">
        <v>115.2723888</v>
      </c>
      <c r="T397" s="3"/>
      <c r="U397" s="3">
        <v>57.078651685393247</v>
      </c>
      <c r="V397" s="3">
        <v>6.5</v>
      </c>
      <c r="W397" s="3">
        <v>28.743000000000009</v>
      </c>
      <c r="X397" s="3">
        <v>33.218688149999998</v>
      </c>
      <c r="Y397" s="3"/>
    </row>
    <row r="398" spans="1:25" x14ac:dyDescent="0.3">
      <c r="A398" s="2" t="s">
        <v>440</v>
      </c>
      <c r="B398" s="2" t="s">
        <v>30</v>
      </c>
      <c r="C398" s="2" t="s">
        <v>143</v>
      </c>
      <c r="D398" s="2" t="s">
        <v>144</v>
      </c>
      <c r="E398" s="2">
        <v>2</v>
      </c>
      <c r="F398" s="2">
        <v>4</v>
      </c>
      <c r="G398" s="2">
        <v>14</v>
      </c>
      <c r="H398" s="2">
        <v>2</v>
      </c>
      <c r="I398" s="3">
        <v>37.46</v>
      </c>
      <c r="J398" s="3">
        <v>13.3</v>
      </c>
      <c r="K398" s="3">
        <v>20</v>
      </c>
      <c r="L398" s="3">
        <v>48</v>
      </c>
      <c r="M398" s="3">
        <v>20.503</v>
      </c>
      <c r="N398" s="3">
        <v>34.200000000000003</v>
      </c>
      <c r="O398" s="3">
        <v>66.260000000000005</v>
      </c>
      <c r="P398" s="3">
        <v>78.133359029999994</v>
      </c>
      <c r="Q398" s="3">
        <v>31.901755439999999</v>
      </c>
      <c r="R398" s="3">
        <v>48.67</v>
      </c>
      <c r="S398" s="3">
        <v>120.74734429999999</v>
      </c>
      <c r="T398" s="3">
        <v>37.280627680000002</v>
      </c>
      <c r="U398" s="3">
        <v>53.424657534246577</v>
      </c>
      <c r="V398" s="3">
        <v>5</v>
      </c>
      <c r="W398" s="3">
        <v>21.841999999999999</v>
      </c>
      <c r="X398" s="3">
        <v>28.08505663</v>
      </c>
      <c r="Y398" s="3"/>
    </row>
    <row r="399" spans="1:25" x14ac:dyDescent="0.3">
      <c r="A399" s="2" t="s">
        <v>441</v>
      </c>
      <c r="B399" s="2" t="s">
        <v>30</v>
      </c>
      <c r="C399" s="2" t="s">
        <v>143</v>
      </c>
      <c r="D399" s="2" t="s">
        <v>144</v>
      </c>
      <c r="E399" s="2">
        <v>2</v>
      </c>
      <c r="F399" s="2">
        <v>4</v>
      </c>
      <c r="G399" s="2">
        <v>14</v>
      </c>
      <c r="H399" s="2">
        <v>3</v>
      </c>
      <c r="I399" s="3">
        <v>36</v>
      </c>
      <c r="J399" s="3">
        <v>14.38</v>
      </c>
      <c r="K399" s="3">
        <v>19</v>
      </c>
      <c r="L399" s="3">
        <v>44</v>
      </c>
      <c r="M399" s="3">
        <v>11.571999999999999</v>
      </c>
      <c r="N399" s="3">
        <v>31.3</v>
      </c>
      <c r="O399" s="3">
        <v>81.75</v>
      </c>
      <c r="P399" s="3">
        <v>108.8006018</v>
      </c>
      <c r="Q399" s="3">
        <v>11.88408179</v>
      </c>
      <c r="R399" s="3">
        <v>59.88</v>
      </c>
      <c r="S399" s="3">
        <v>115.7536975</v>
      </c>
      <c r="T399" s="3">
        <v>41.702374030000001</v>
      </c>
      <c r="U399" s="3">
        <v>56.292906178489702</v>
      </c>
      <c r="V399" s="3">
        <v>6.5</v>
      </c>
      <c r="W399" s="3">
        <v>24.830200000000001</v>
      </c>
      <c r="X399" s="3">
        <v>43.257105619999997</v>
      </c>
      <c r="Y399" s="3"/>
    </row>
    <row r="400" spans="1:25" x14ac:dyDescent="0.3">
      <c r="A400" s="2" t="s">
        <v>442</v>
      </c>
      <c r="B400" s="2" t="s">
        <v>30</v>
      </c>
      <c r="C400" s="2" t="s">
        <v>143</v>
      </c>
      <c r="D400" s="2" t="s">
        <v>144</v>
      </c>
      <c r="E400" s="2">
        <v>2</v>
      </c>
      <c r="F400" s="2">
        <v>4</v>
      </c>
      <c r="G400" s="2">
        <v>14</v>
      </c>
      <c r="H400" s="2">
        <v>4</v>
      </c>
      <c r="I400" s="3">
        <v>39.11</v>
      </c>
      <c r="J400" s="3">
        <v>15.71</v>
      </c>
      <c r="K400" s="3">
        <v>19</v>
      </c>
      <c r="L400" s="3">
        <v>51</v>
      </c>
      <c r="M400" s="3">
        <v>16.13</v>
      </c>
      <c r="N400" s="3">
        <v>6.8</v>
      </c>
      <c r="O400" s="3">
        <v>68.98</v>
      </c>
      <c r="P400" s="3">
        <v>82.380952460000003</v>
      </c>
      <c r="Q400" s="3">
        <v>23.457079950000001</v>
      </c>
      <c r="R400" s="3">
        <v>70.08</v>
      </c>
      <c r="S400" s="3">
        <v>112.2594656</v>
      </c>
      <c r="T400" s="3">
        <v>45.03627427</v>
      </c>
      <c r="U400" s="3">
        <v>59.137577002053391</v>
      </c>
      <c r="V400" s="3">
        <v>4.5</v>
      </c>
      <c r="W400" s="3">
        <v>21.748200000000001</v>
      </c>
      <c r="X400" s="3">
        <v>50.284204029999998</v>
      </c>
      <c r="Y400" s="3"/>
    </row>
    <row r="401" spans="1:25" x14ac:dyDescent="0.3">
      <c r="A401" s="2" t="s">
        <v>443</v>
      </c>
      <c r="B401" s="2" t="s">
        <v>30</v>
      </c>
      <c r="C401" s="2" t="s">
        <v>143</v>
      </c>
      <c r="D401" s="2" t="s">
        <v>144</v>
      </c>
      <c r="E401" s="2">
        <v>2</v>
      </c>
      <c r="F401" s="2">
        <v>4</v>
      </c>
      <c r="G401" s="2">
        <v>14</v>
      </c>
      <c r="H401" s="2">
        <v>5</v>
      </c>
      <c r="I401" s="3">
        <v>40.6</v>
      </c>
      <c r="J401" s="3">
        <v>12.35</v>
      </c>
      <c r="K401" s="3">
        <v>24</v>
      </c>
      <c r="L401" s="3">
        <v>45</v>
      </c>
      <c r="M401" s="3">
        <v>21.163</v>
      </c>
      <c r="N401" s="3">
        <v>23.5</v>
      </c>
      <c r="O401" s="3">
        <v>75.58</v>
      </c>
      <c r="P401" s="3">
        <v>97.750903980000004</v>
      </c>
      <c r="Q401" s="3">
        <v>18.388006959999998</v>
      </c>
      <c r="R401" s="3">
        <v>54.73</v>
      </c>
      <c r="S401" s="3">
        <v>117.4595918</v>
      </c>
      <c r="T401" s="3">
        <v>44.673141819999998</v>
      </c>
      <c r="U401" s="3">
        <v>55.408388520971307</v>
      </c>
      <c r="V401" s="3">
        <v>5</v>
      </c>
      <c r="W401" s="3">
        <v>31.5168</v>
      </c>
      <c r="X401" s="3">
        <v>29.036453460000001</v>
      </c>
      <c r="Y401" s="3"/>
    </row>
    <row r="402" spans="1:25" x14ac:dyDescent="0.3">
      <c r="A402" s="2" t="s">
        <v>444</v>
      </c>
      <c r="B402" s="2" t="s">
        <v>30</v>
      </c>
      <c r="C402" s="2" t="s">
        <v>39</v>
      </c>
      <c r="D402" s="2" t="s">
        <v>47</v>
      </c>
      <c r="E402" s="2">
        <v>2</v>
      </c>
      <c r="F402" s="2">
        <v>4</v>
      </c>
      <c r="G402" s="2">
        <v>14</v>
      </c>
      <c r="H402" s="2">
        <v>1</v>
      </c>
      <c r="I402" s="3">
        <v>64.489999999999995</v>
      </c>
      <c r="J402" s="3">
        <v>14.25</v>
      </c>
      <c r="K402" s="3">
        <v>25</v>
      </c>
      <c r="L402" s="3">
        <v>47</v>
      </c>
      <c r="M402" s="3">
        <v>10.798</v>
      </c>
      <c r="N402" s="3">
        <v>29.8</v>
      </c>
      <c r="O402" s="3">
        <v>78.209999999999994</v>
      </c>
      <c r="P402" s="3">
        <v>103.1978792</v>
      </c>
      <c r="Q402" s="3">
        <v>19.285257132000002</v>
      </c>
      <c r="R402" s="3">
        <v>66.650000000000006</v>
      </c>
      <c r="S402" s="3">
        <v>114.8932681</v>
      </c>
      <c r="T402" s="3">
        <v>44.615124119999997</v>
      </c>
      <c r="U402" s="3">
        <v>52.153110047846887</v>
      </c>
      <c r="V402" s="3">
        <v>6</v>
      </c>
      <c r="W402" s="3">
        <v>20.676200000000001</v>
      </c>
      <c r="X402" s="3">
        <v>25.835096100000001</v>
      </c>
      <c r="Y402" s="3"/>
    </row>
    <row r="403" spans="1:25" x14ac:dyDescent="0.3">
      <c r="A403" s="2" t="s">
        <v>445</v>
      </c>
      <c r="B403" s="2" t="s">
        <v>30</v>
      </c>
      <c r="C403" s="2" t="s">
        <v>39</v>
      </c>
      <c r="D403" s="2" t="s">
        <v>47</v>
      </c>
      <c r="E403" s="2">
        <v>2</v>
      </c>
      <c r="F403" s="2">
        <v>4</v>
      </c>
      <c r="G403" s="2">
        <v>14</v>
      </c>
      <c r="H403" s="2">
        <v>2</v>
      </c>
      <c r="I403" s="3">
        <v>62.48</v>
      </c>
      <c r="J403" s="3">
        <v>13.38</v>
      </c>
      <c r="K403" s="3">
        <v>24</v>
      </c>
      <c r="L403" s="3">
        <v>50</v>
      </c>
      <c r="M403" s="3">
        <v>7.9058999999999999</v>
      </c>
      <c r="N403" s="3">
        <v>24.5</v>
      </c>
      <c r="O403" s="3">
        <v>74.010000000000005</v>
      </c>
      <c r="P403" s="3">
        <v>82.398109559999995</v>
      </c>
      <c r="Q403" s="3">
        <v>21.468674849999999</v>
      </c>
      <c r="R403" s="3">
        <v>64.930000000000007</v>
      </c>
      <c r="S403" s="3">
        <v>115.71835179999999</v>
      </c>
      <c r="T403" s="3">
        <v>46.318494149999999</v>
      </c>
      <c r="U403" s="3">
        <v>48.717948717948708</v>
      </c>
      <c r="V403" s="3">
        <v>4.5</v>
      </c>
      <c r="W403" s="3">
        <v>17.0046</v>
      </c>
      <c r="X403" s="3">
        <v>26.454836520000001</v>
      </c>
      <c r="Y403" s="3"/>
    </row>
    <row r="404" spans="1:25" x14ac:dyDescent="0.3">
      <c r="A404" s="2" t="s">
        <v>446</v>
      </c>
      <c r="B404" s="2" t="s">
        <v>30</v>
      </c>
      <c r="C404" s="2" t="s">
        <v>39</v>
      </c>
      <c r="D404" s="2" t="s">
        <v>47</v>
      </c>
      <c r="E404" s="2">
        <v>2</v>
      </c>
      <c r="F404" s="2">
        <v>4</v>
      </c>
      <c r="G404" s="2">
        <v>14</v>
      </c>
      <c r="H404" s="2">
        <v>3</v>
      </c>
      <c r="I404" s="3">
        <v>65.27</v>
      </c>
      <c r="J404" s="3">
        <v>15.95</v>
      </c>
      <c r="K404" s="3">
        <v>24</v>
      </c>
      <c r="L404" s="3">
        <v>55</v>
      </c>
      <c r="M404" s="3">
        <v>6.4223999999999997</v>
      </c>
      <c r="N404" s="3"/>
      <c r="O404" s="3">
        <v>73.98</v>
      </c>
      <c r="P404" s="3">
        <v>84.000549140000004</v>
      </c>
      <c r="Q404" s="3">
        <v>21.527902820000001</v>
      </c>
      <c r="R404" s="3">
        <v>50.93</v>
      </c>
      <c r="S404" s="3">
        <v>121.9513285</v>
      </c>
      <c r="T404" s="3">
        <v>35.014925390000002</v>
      </c>
      <c r="U404" s="3">
        <v>57.281553398058257</v>
      </c>
      <c r="V404" s="3">
        <v>6.5</v>
      </c>
      <c r="W404" s="3">
        <v>24.213799999999999</v>
      </c>
      <c r="X404" s="3">
        <v>17.495787230000001</v>
      </c>
      <c r="Y404" s="3"/>
    </row>
    <row r="405" spans="1:25" x14ac:dyDescent="0.3">
      <c r="A405" s="2" t="s">
        <v>447</v>
      </c>
      <c r="B405" s="2" t="s">
        <v>30</v>
      </c>
      <c r="C405" s="2" t="s">
        <v>39</v>
      </c>
      <c r="D405" s="2" t="s">
        <v>47</v>
      </c>
      <c r="E405" s="2">
        <v>2</v>
      </c>
      <c r="F405" s="2">
        <v>4</v>
      </c>
      <c r="G405" s="2">
        <v>14</v>
      </c>
      <c r="H405" s="2">
        <v>4</v>
      </c>
      <c r="I405" s="3">
        <v>74.41</v>
      </c>
      <c r="J405" s="3">
        <v>17.37</v>
      </c>
      <c r="K405" s="3">
        <v>25</v>
      </c>
      <c r="L405" s="3">
        <v>57</v>
      </c>
      <c r="M405" s="3">
        <v>14.877000000000001</v>
      </c>
      <c r="N405" s="3"/>
      <c r="O405" s="3">
        <v>65.849999999999994</v>
      </c>
      <c r="P405" s="3">
        <v>73.459263840000006</v>
      </c>
      <c r="Q405" s="3">
        <v>22.48026913</v>
      </c>
      <c r="R405" s="3">
        <v>51.02</v>
      </c>
      <c r="S405" s="3">
        <v>121.7551697</v>
      </c>
      <c r="T405" s="3">
        <v>40.3386031</v>
      </c>
      <c r="U405" s="3">
        <v>56.929637526652463</v>
      </c>
      <c r="V405" s="3">
        <v>7</v>
      </c>
      <c r="W405" s="3">
        <v>30.391200000000001</v>
      </c>
      <c r="X405" s="3">
        <v>30.57148304</v>
      </c>
      <c r="Y405" s="3"/>
    </row>
    <row r="406" spans="1:25" x14ac:dyDescent="0.3">
      <c r="A406" s="2" t="s">
        <v>448</v>
      </c>
      <c r="B406" s="2" t="s">
        <v>30</v>
      </c>
      <c r="C406" s="2" t="s">
        <v>39</v>
      </c>
      <c r="D406" s="2" t="s">
        <v>47</v>
      </c>
      <c r="E406" s="2">
        <v>2</v>
      </c>
      <c r="F406" s="2">
        <v>4</v>
      </c>
      <c r="G406" s="2">
        <v>14</v>
      </c>
      <c r="H406" s="2">
        <v>5</v>
      </c>
      <c r="I406" s="3">
        <v>63.27</v>
      </c>
      <c r="J406" s="3">
        <v>19.809999999999999</v>
      </c>
      <c r="K406" s="3">
        <v>23</v>
      </c>
      <c r="L406" s="3">
        <v>60</v>
      </c>
      <c r="M406" s="3">
        <v>18.632999999999999</v>
      </c>
      <c r="N406" s="3">
        <v>38.4</v>
      </c>
      <c r="O406" s="3">
        <v>71.17</v>
      </c>
      <c r="P406" s="3">
        <v>77.854253880000002</v>
      </c>
      <c r="Q406" s="3">
        <v>22.053643690000001</v>
      </c>
      <c r="R406" s="3">
        <v>55.15</v>
      </c>
      <c r="S406" s="3">
        <v>119.010082</v>
      </c>
      <c r="T406" s="3">
        <v>40.250098139999999</v>
      </c>
      <c r="U406" s="3"/>
      <c r="V406" s="3">
        <v>5.5</v>
      </c>
      <c r="W406" s="3">
        <v>26.800000000000011</v>
      </c>
      <c r="X406" s="3">
        <v>12.27922536</v>
      </c>
      <c r="Y406" s="3"/>
    </row>
  </sheetData>
  <autoFilter ref="A1:Y40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AE37-CC51-4BA1-AC86-7472A83AE054}">
  <dimension ref="A1:T26"/>
  <sheetViews>
    <sheetView workbookViewId="0">
      <selection activeCell="A2" sqref="A1:XFD1048576"/>
    </sheetView>
  </sheetViews>
  <sheetFormatPr baseColWidth="10" defaultColWidth="8.88671875" defaultRowHeight="14.4" x14ac:dyDescent="0.3"/>
  <cols>
    <col min="1" max="1" width="22" customWidth="1"/>
    <col min="2" max="2" width="19.5546875" customWidth="1"/>
    <col min="3" max="3" width="11" customWidth="1"/>
    <col min="4" max="20" width="12" customWidth="1"/>
  </cols>
  <sheetData>
    <row r="1" spans="1:20" ht="22.8" x14ac:dyDescent="0.3">
      <c r="A1" s="5" t="s">
        <v>611</v>
      </c>
      <c r="B1" s="5" t="s">
        <v>612</v>
      </c>
      <c r="C1" s="5" t="s">
        <v>613</v>
      </c>
      <c r="D1" s="5" t="s">
        <v>588</v>
      </c>
      <c r="E1" s="5" t="s">
        <v>591</v>
      </c>
      <c r="F1" s="5" t="s">
        <v>594</v>
      </c>
      <c r="G1" s="5" t="s">
        <v>597</v>
      </c>
      <c r="H1" s="5" t="s">
        <v>598</v>
      </c>
      <c r="I1" s="5" t="s">
        <v>599</v>
      </c>
      <c r="J1" s="5" t="s">
        <v>2</v>
      </c>
      <c r="K1" s="5" t="s">
        <v>584</v>
      </c>
      <c r="L1" s="5" t="s">
        <v>573</v>
      </c>
      <c r="M1" s="5" t="s">
        <v>577</v>
      </c>
      <c r="N1" s="5" t="s">
        <v>580</v>
      </c>
      <c r="O1" s="5" t="s">
        <v>563</v>
      </c>
      <c r="P1" s="5" t="s">
        <v>1</v>
      </c>
      <c r="Q1" s="5" t="s">
        <v>583</v>
      </c>
      <c r="R1" s="5" t="s">
        <v>603</v>
      </c>
      <c r="S1" s="5" t="s">
        <v>480</v>
      </c>
      <c r="T1" s="5" t="s">
        <v>614</v>
      </c>
    </row>
    <row r="2" spans="1:20" x14ac:dyDescent="0.3">
      <c r="A2" s="6" t="s">
        <v>615</v>
      </c>
      <c r="B2" s="7" t="s">
        <v>616</v>
      </c>
      <c r="C2" s="6" t="s">
        <v>562</v>
      </c>
      <c r="D2" s="6">
        <v>401</v>
      </c>
      <c r="E2" s="6">
        <v>393</v>
      </c>
      <c r="F2" s="6">
        <v>397</v>
      </c>
      <c r="G2" s="6">
        <v>400</v>
      </c>
      <c r="H2" s="6">
        <v>399</v>
      </c>
      <c r="I2" s="6">
        <v>401</v>
      </c>
      <c r="J2" s="6">
        <v>199</v>
      </c>
      <c r="K2" s="6">
        <v>400</v>
      </c>
      <c r="L2" s="6">
        <v>399</v>
      </c>
      <c r="M2" s="6">
        <v>405</v>
      </c>
      <c r="N2" s="6">
        <v>403</v>
      </c>
      <c r="O2" s="6">
        <v>402</v>
      </c>
      <c r="P2" s="6">
        <v>394</v>
      </c>
      <c r="Q2" s="6">
        <v>399</v>
      </c>
      <c r="R2" s="6">
        <v>401</v>
      </c>
      <c r="S2" s="6">
        <v>398</v>
      </c>
      <c r="T2" s="6">
        <v>97</v>
      </c>
    </row>
    <row r="3" spans="1:20" x14ac:dyDescent="0.3">
      <c r="A3" s="8" t="s">
        <v>617</v>
      </c>
      <c r="B3" s="9" t="s">
        <v>618</v>
      </c>
      <c r="C3" s="10" t="s">
        <v>619</v>
      </c>
      <c r="D3" s="10">
        <v>3.0000000000000001E-3</v>
      </c>
      <c r="E3" s="10">
        <v>23.385999999999999</v>
      </c>
      <c r="F3" s="10">
        <v>23.385999999999999</v>
      </c>
      <c r="G3" s="10">
        <v>7.5880000000000001</v>
      </c>
      <c r="H3" s="10">
        <v>2.5270000000000001</v>
      </c>
      <c r="I3" s="10">
        <v>14.019</v>
      </c>
      <c r="J3" s="10" t="s">
        <v>0</v>
      </c>
      <c r="K3" s="10">
        <v>9.2029999999999994</v>
      </c>
      <c r="L3" s="10">
        <v>23.385999999999999</v>
      </c>
      <c r="M3" s="10">
        <v>5.25</v>
      </c>
      <c r="N3" s="10">
        <v>23.385999999999999</v>
      </c>
      <c r="O3" s="10">
        <v>1.2310000000000001</v>
      </c>
      <c r="P3" s="10">
        <v>1.0960000000000001</v>
      </c>
      <c r="Q3" s="10">
        <v>1.7030000000000001</v>
      </c>
      <c r="R3" s="10">
        <v>23.385999999999999</v>
      </c>
      <c r="S3" s="10">
        <v>27.273</v>
      </c>
      <c r="T3" s="10" t="s">
        <v>0</v>
      </c>
    </row>
    <row r="4" spans="1:20" x14ac:dyDescent="0.3">
      <c r="A4" s="11"/>
      <c r="B4" s="11"/>
      <c r="C4" s="10" t="s">
        <v>620</v>
      </c>
      <c r="D4" s="10" t="s">
        <v>564</v>
      </c>
      <c r="E4" s="10" t="s">
        <v>564</v>
      </c>
      <c r="F4" s="10" t="s">
        <v>564</v>
      </c>
      <c r="G4" s="10" t="s">
        <v>564</v>
      </c>
      <c r="H4" s="10" t="s">
        <v>564</v>
      </c>
      <c r="I4" s="10" t="s">
        <v>564</v>
      </c>
      <c r="J4" s="10" t="s">
        <v>0</v>
      </c>
      <c r="K4" s="10" t="s">
        <v>564</v>
      </c>
      <c r="L4" s="10" t="s">
        <v>564</v>
      </c>
      <c r="M4" s="10" t="s">
        <v>564</v>
      </c>
      <c r="N4" s="10" t="s">
        <v>564</v>
      </c>
      <c r="O4" s="10" t="s">
        <v>564</v>
      </c>
      <c r="P4" s="10" t="s">
        <v>564</v>
      </c>
      <c r="Q4" s="10" t="s">
        <v>564</v>
      </c>
      <c r="R4" s="10" t="s">
        <v>564</v>
      </c>
      <c r="S4" s="10" t="s">
        <v>564</v>
      </c>
      <c r="T4" s="10" t="s">
        <v>0</v>
      </c>
    </row>
    <row r="5" spans="1:20" x14ac:dyDescent="0.3">
      <c r="A5" s="11"/>
      <c r="B5" s="11"/>
      <c r="C5" s="10" t="s">
        <v>621</v>
      </c>
      <c r="D5" s="10">
        <v>0.95960000000000001</v>
      </c>
      <c r="E5" s="10" t="s">
        <v>622</v>
      </c>
      <c r="F5" s="10" t="s">
        <v>622</v>
      </c>
      <c r="G5" s="10">
        <v>2.23E-2</v>
      </c>
      <c r="H5" s="10">
        <v>0.1464</v>
      </c>
      <c r="I5" s="10">
        <v>4.5999999999999999E-3</v>
      </c>
      <c r="J5" s="10" t="s">
        <v>0</v>
      </c>
      <c r="K5" s="10">
        <v>1.4200000000000001E-2</v>
      </c>
      <c r="L5" s="10" t="s">
        <v>622</v>
      </c>
      <c r="M5" s="10">
        <v>4.7699999999999999E-2</v>
      </c>
      <c r="N5" s="10" t="s">
        <v>622</v>
      </c>
      <c r="O5" s="10">
        <v>0.29599999999999999</v>
      </c>
      <c r="P5" s="10">
        <v>0.32240000000000002</v>
      </c>
      <c r="Q5" s="10">
        <v>0.2243</v>
      </c>
      <c r="R5" s="10" t="s">
        <v>622</v>
      </c>
      <c r="S5" s="10" t="s">
        <v>622</v>
      </c>
      <c r="T5" s="10" t="s">
        <v>0</v>
      </c>
    </row>
    <row r="6" spans="1:20" x14ac:dyDescent="0.3">
      <c r="A6" s="11"/>
      <c r="B6" s="12"/>
      <c r="C6" s="10" t="s">
        <v>623</v>
      </c>
      <c r="D6" s="10" t="s">
        <v>565</v>
      </c>
      <c r="E6" s="13" t="s">
        <v>569</v>
      </c>
      <c r="F6" s="13" t="s">
        <v>569</v>
      </c>
      <c r="G6" s="13" t="s">
        <v>566</v>
      </c>
      <c r="H6" s="10" t="s">
        <v>565</v>
      </c>
      <c r="I6" s="13" t="s">
        <v>570</v>
      </c>
      <c r="J6" s="10" t="s">
        <v>0</v>
      </c>
      <c r="K6" s="13" t="s">
        <v>566</v>
      </c>
      <c r="L6" s="13" t="s">
        <v>569</v>
      </c>
      <c r="M6" s="13" t="s">
        <v>566</v>
      </c>
      <c r="N6" s="13" t="s">
        <v>569</v>
      </c>
      <c r="O6" s="10" t="s">
        <v>565</v>
      </c>
      <c r="P6" s="10" t="s">
        <v>565</v>
      </c>
      <c r="Q6" s="10" t="s">
        <v>565</v>
      </c>
      <c r="R6" s="13" t="s">
        <v>569</v>
      </c>
      <c r="S6" s="13" t="s">
        <v>569</v>
      </c>
      <c r="T6" s="10" t="s">
        <v>0</v>
      </c>
    </row>
    <row r="7" spans="1:20" x14ac:dyDescent="0.3">
      <c r="A7" s="11"/>
      <c r="B7" s="9" t="s">
        <v>624</v>
      </c>
      <c r="C7" s="10" t="s">
        <v>619</v>
      </c>
      <c r="D7" s="10">
        <v>23.376999999999999</v>
      </c>
      <c r="E7" s="10">
        <v>1.881</v>
      </c>
      <c r="F7" s="10">
        <v>4.4359999999999999</v>
      </c>
      <c r="G7" s="10">
        <v>17.872</v>
      </c>
      <c r="H7" s="10">
        <v>17.675999999999998</v>
      </c>
      <c r="I7" s="10">
        <v>5.9660000000000002</v>
      </c>
      <c r="J7" s="10" t="s">
        <v>0</v>
      </c>
      <c r="K7" s="10">
        <v>23.452999999999999</v>
      </c>
      <c r="L7" s="10">
        <v>23.581</v>
      </c>
      <c r="M7" s="10">
        <v>0.60499999999999998</v>
      </c>
      <c r="N7" s="10">
        <v>23.452999999999999</v>
      </c>
      <c r="O7" s="10">
        <v>6.4660000000000002</v>
      </c>
      <c r="P7" s="10">
        <v>1.488</v>
      </c>
      <c r="Q7" s="10">
        <v>1.474</v>
      </c>
      <c r="R7" s="10">
        <v>26.181999999999999</v>
      </c>
      <c r="S7" s="10">
        <v>3.9710000000000001</v>
      </c>
      <c r="T7" s="10" t="s">
        <v>0</v>
      </c>
    </row>
    <row r="8" spans="1:20" x14ac:dyDescent="0.3">
      <c r="A8" s="11"/>
      <c r="B8" s="11"/>
      <c r="C8" s="10" t="s">
        <v>620</v>
      </c>
      <c r="D8" s="10" t="s">
        <v>564</v>
      </c>
      <c r="E8" s="10" t="s">
        <v>564</v>
      </c>
      <c r="F8" s="10" t="s">
        <v>564</v>
      </c>
      <c r="G8" s="10" t="s">
        <v>564</v>
      </c>
      <c r="H8" s="10" t="s">
        <v>564</v>
      </c>
      <c r="I8" s="10" t="s">
        <v>564</v>
      </c>
      <c r="J8" s="10" t="s">
        <v>0</v>
      </c>
      <c r="K8" s="10" t="s">
        <v>564</v>
      </c>
      <c r="L8" s="10" t="s">
        <v>564</v>
      </c>
      <c r="M8" s="10" t="s">
        <v>564</v>
      </c>
      <c r="N8" s="10" t="s">
        <v>564</v>
      </c>
      <c r="O8" s="10" t="s">
        <v>564</v>
      </c>
      <c r="P8" s="10" t="s">
        <v>564</v>
      </c>
      <c r="Q8" s="10" t="s">
        <v>564</v>
      </c>
      <c r="R8" s="10" t="s">
        <v>564</v>
      </c>
      <c r="S8" s="10" t="s">
        <v>564</v>
      </c>
      <c r="T8" s="10" t="s">
        <v>0</v>
      </c>
    </row>
    <row r="9" spans="1:20" x14ac:dyDescent="0.3">
      <c r="A9" s="11"/>
      <c r="B9" s="11"/>
      <c r="C9" s="10" t="s">
        <v>621</v>
      </c>
      <c r="D9" s="10" t="s">
        <v>622</v>
      </c>
      <c r="E9" s="10">
        <v>0.2034</v>
      </c>
      <c r="F9" s="10">
        <v>6.4500000000000002E-2</v>
      </c>
      <c r="G9" s="10">
        <v>2.2000000000000001E-3</v>
      </c>
      <c r="H9" s="10">
        <v>2.3E-3</v>
      </c>
      <c r="I9" s="10">
        <v>3.7199999999999997E-2</v>
      </c>
      <c r="J9" s="10" t="s">
        <v>0</v>
      </c>
      <c r="K9" s="10" t="s">
        <v>622</v>
      </c>
      <c r="L9" s="10" t="s">
        <v>622</v>
      </c>
      <c r="M9" s="10">
        <v>0.45650000000000002</v>
      </c>
      <c r="N9" s="10" t="s">
        <v>622</v>
      </c>
      <c r="O9" s="10">
        <v>3.1600000000000003E-2</v>
      </c>
      <c r="P9" s="10">
        <v>0.25359999999999999</v>
      </c>
      <c r="Q9" s="10">
        <v>0.2555</v>
      </c>
      <c r="R9" s="10" t="s">
        <v>622</v>
      </c>
      <c r="S9" s="10">
        <v>7.7499999999999999E-2</v>
      </c>
      <c r="T9" s="10" t="s">
        <v>0</v>
      </c>
    </row>
    <row r="10" spans="1:20" x14ac:dyDescent="0.3">
      <c r="A10" s="11"/>
      <c r="B10" s="12"/>
      <c r="C10" s="10" t="s">
        <v>623</v>
      </c>
      <c r="D10" s="13" t="s">
        <v>569</v>
      </c>
      <c r="E10" s="10" t="s">
        <v>565</v>
      </c>
      <c r="F10" s="10" t="s">
        <v>565</v>
      </c>
      <c r="G10" s="13" t="s">
        <v>570</v>
      </c>
      <c r="H10" s="13" t="s">
        <v>570</v>
      </c>
      <c r="I10" s="13" t="s">
        <v>566</v>
      </c>
      <c r="J10" s="10" t="s">
        <v>0</v>
      </c>
      <c r="K10" s="13" t="s">
        <v>569</v>
      </c>
      <c r="L10" s="13" t="s">
        <v>569</v>
      </c>
      <c r="M10" s="10" t="s">
        <v>565</v>
      </c>
      <c r="N10" s="13" t="s">
        <v>569</v>
      </c>
      <c r="O10" s="13" t="s">
        <v>566</v>
      </c>
      <c r="P10" s="10" t="s">
        <v>565</v>
      </c>
      <c r="Q10" s="10" t="s">
        <v>565</v>
      </c>
      <c r="R10" s="13" t="s">
        <v>569</v>
      </c>
      <c r="S10" s="10" t="s">
        <v>565</v>
      </c>
      <c r="T10" s="10" t="s">
        <v>0</v>
      </c>
    </row>
    <row r="11" spans="1:20" x14ac:dyDescent="0.3">
      <c r="A11" s="11"/>
      <c r="B11" s="9" t="s">
        <v>625</v>
      </c>
      <c r="C11" s="10" t="s">
        <v>619</v>
      </c>
      <c r="D11" s="10">
        <v>6.36</v>
      </c>
      <c r="E11" s="10">
        <v>7.7869999999999999</v>
      </c>
      <c r="F11" s="10">
        <v>1.3720000000000001</v>
      </c>
      <c r="G11" s="10">
        <v>2.2360000000000002</v>
      </c>
      <c r="H11" s="10">
        <v>3.2690000000000001</v>
      </c>
      <c r="I11" s="10">
        <v>3.141</v>
      </c>
      <c r="J11" s="10" t="s">
        <v>0</v>
      </c>
      <c r="K11" s="10">
        <v>3.7570000000000001</v>
      </c>
      <c r="L11" s="10">
        <v>1.3779999999999999</v>
      </c>
      <c r="M11" s="10">
        <v>0.33500000000000002</v>
      </c>
      <c r="N11" s="10">
        <v>0.79300000000000004</v>
      </c>
      <c r="O11" s="10">
        <v>0.57999999999999996</v>
      </c>
      <c r="P11" s="10">
        <v>0.499</v>
      </c>
      <c r="Q11" s="10">
        <v>1.8089999999999999</v>
      </c>
      <c r="R11" s="10">
        <v>0.16700000000000001</v>
      </c>
      <c r="S11" s="10">
        <v>9.673</v>
      </c>
      <c r="T11" s="10" t="s">
        <v>0</v>
      </c>
    </row>
    <row r="12" spans="1:20" x14ac:dyDescent="0.3">
      <c r="A12" s="11"/>
      <c r="B12" s="11"/>
      <c r="C12" s="10" t="s">
        <v>620</v>
      </c>
      <c r="D12" s="10" t="s">
        <v>567</v>
      </c>
      <c r="E12" s="10" t="s">
        <v>567</v>
      </c>
      <c r="F12" s="10" t="s">
        <v>567</v>
      </c>
      <c r="G12" s="10" t="s">
        <v>567</v>
      </c>
      <c r="H12" s="10" t="s">
        <v>567</v>
      </c>
      <c r="I12" s="10" t="s">
        <v>567</v>
      </c>
      <c r="J12" s="10" t="s">
        <v>0</v>
      </c>
      <c r="K12" s="10" t="s">
        <v>567</v>
      </c>
      <c r="L12" s="10" t="s">
        <v>567</v>
      </c>
      <c r="M12" s="10" t="s">
        <v>567</v>
      </c>
      <c r="N12" s="10" t="s">
        <v>567</v>
      </c>
      <c r="O12" s="10" t="s">
        <v>567</v>
      </c>
      <c r="P12" s="10" t="s">
        <v>567</v>
      </c>
      <c r="Q12" s="10" t="s">
        <v>567</v>
      </c>
      <c r="R12" s="10" t="s">
        <v>567</v>
      </c>
      <c r="S12" s="10" t="s">
        <v>567</v>
      </c>
      <c r="T12" s="10" t="s">
        <v>0</v>
      </c>
    </row>
    <row r="13" spans="1:20" x14ac:dyDescent="0.3">
      <c r="A13" s="11"/>
      <c r="B13" s="11"/>
      <c r="C13" s="10" t="s">
        <v>621</v>
      </c>
      <c r="D13" s="10">
        <v>6.0000000000000001E-3</v>
      </c>
      <c r="E13" s="10">
        <v>2.8999999999999998E-3</v>
      </c>
      <c r="F13" s="10">
        <v>0.32219999999999999</v>
      </c>
      <c r="G13" s="10">
        <v>0.12620000000000001</v>
      </c>
      <c r="H13" s="10">
        <v>4.8300000000000003E-2</v>
      </c>
      <c r="I13" s="10">
        <v>5.3999999999999999E-2</v>
      </c>
      <c r="J13" s="10" t="s">
        <v>0</v>
      </c>
      <c r="K13" s="10">
        <v>3.2500000000000001E-2</v>
      </c>
      <c r="L13" s="10">
        <v>0.32029999999999997</v>
      </c>
      <c r="M13" s="10">
        <v>0.93069999999999997</v>
      </c>
      <c r="N13" s="10">
        <v>0.62309999999999999</v>
      </c>
      <c r="O13" s="10">
        <v>0.77249999999999996</v>
      </c>
      <c r="P13" s="10">
        <v>0.82989999999999997</v>
      </c>
      <c r="Q13" s="10">
        <v>0.1976</v>
      </c>
      <c r="R13" s="10">
        <v>0.99039999999999995</v>
      </c>
      <c r="S13" s="10">
        <v>1.2999999999999999E-3</v>
      </c>
      <c r="T13" s="10" t="s">
        <v>0</v>
      </c>
    </row>
    <row r="14" spans="1:20" x14ac:dyDescent="0.3">
      <c r="A14" s="12"/>
      <c r="B14" s="12"/>
      <c r="C14" s="10" t="s">
        <v>623</v>
      </c>
      <c r="D14" s="13" t="s">
        <v>570</v>
      </c>
      <c r="E14" s="13" t="s">
        <v>570</v>
      </c>
      <c r="F14" s="10" t="s">
        <v>565</v>
      </c>
      <c r="G14" s="10" t="s">
        <v>565</v>
      </c>
      <c r="H14" s="13" t="s">
        <v>566</v>
      </c>
      <c r="I14" s="10" t="s">
        <v>565</v>
      </c>
      <c r="J14" s="10" t="s">
        <v>0</v>
      </c>
      <c r="K14" s="13" t="s">
        <v>566</v>
      </c>
      <c r="L14" s="10" t="s">
        <v>565</v>
      </c>
      <c r="M14" s="10" t="s">
        <v>565</v>
      </c>
      <c r="N14" s="10" t="s">
        <v>565</v>
      </c>
      <c r="O14" s="10" t="s">
        <v>565</v>
      </c>
      <c r="P14" s="10" t="s">
        <v>565</v>
      </c>
      <c r="Q14" s="10" t="s">
        <v>565</v>
      </c>
      <c r="R14" s="10" t="s">
        <v>565</v>
      </c>
      <c r="S14" s="13" t="s">
        <v>570</v>
      </c>
      <c r="T14" s="10" t="s">
        <v>0</v>
      </c>
    </row>
    <row r="15" spans="1:20" x14ac:dyDescent="0.3">
      <c r="A15" s="14" t="s">
        <v>626</v>
      </c>
      <c r="B15" s="15" t="s">
        <v>627</v>
      </c>
      <c r="C15" s="16" t="s">
        <v>619</v>
      </c>
      <c r="D15" s="16">
        <v>23.056000000000001</v>
      </c>
      <c r="E15" s="16">
        <v>119.194</v>
      </c>
      <c r="F15" s="16">
        <v>78.850999999999999</v>
      </c>
      <c r="G15" s="16">
        <v>173.97300000000001</v>
      </c>
      <c r="H15" s="16">
        <v>64.397999999999996</v>
      </c>
      <c r="I15" s="16">
        <v>190.65299999999999</v>
      </c>
      <c r="J15" s="16">
        <v>395.387</v>
      </c>
      <c r="K15" s="16">
        <v>156.92400000000001</v>
      </c>
      <c r="L15" s="16">
        <v>33.284999999999997</v>
      </c>
      <c r="M15" s="16">
        <v>78.81</v>
      </c>
      <c r="N15" s="16">
        <v>120.9</v>
      </c>
      <c r="O15" s="16">
        <v>92.965999999999994</v>
      </c>
      <c r="P15" s="16">
        <v>98.835999999999999</v>
      </c>
      <c r="Q15" s="16">
        <v>60.247</v>
      </c>
      <c r="R15" s="16">
        <v>10.521000000000001</v>
      </c>
      <c r="S15" s="16">
        <v>170.328</v>
      </c>
      <c r="T15" s="16">
        <v>1E-3</v>
      </c>
    </row>
    <row r="16" spans="1:20" x14ac:dyDescent="0.3">
      <c r="A16" s="11"/>
      <c r="B16" s="11"/>
      <c r="C16" s="16" t="s">
        <v>620</v>
      </c>
      <c r="D16" s="16" t="s">
        <v>589</v>
      </c>
      <c r="E16" s="16" t="s">
        <v>592</v>
      </c>
      <c r="F16" s="16" t="s">
        <v>595</v>
      </c>
      <c r="G16" s="16" t="s">
        <v>585</v>
      </c>
      <c r="H16" s="16" t="s">
        <v>574</v>
      </c>
      <c r="I16" s="16" t="s">
        <v>589</v>
      </c>
      <c r="J16" s="16" t="s">
        <v>601</v>
      </c>
      <c r="K16" s="16" t="s">
        <v>585</v>
      </c>
      <c r="L16" s="16" t="s">
        <v>574</v>
      </c>
      <c r="M16" s="16" t="s">
        <v>578</v>
      </c>
      <c r="N16" s="16" t="s">
        <v>581</v>
      </c>
      <c r="O16" s="16" t="s">
        <v>568</v>
      </c>
      <c r="P16" s="16" t="s">
        <v>606</v>
      </c>
      <c r="Q16" s="16" t="s">
        <v>574</v>
      </c>
      <c r="R16" s="16" t="s">
        <v>589</v>
      </c>
      <c r="S16" s="16" t="s">
        <v>604</v>
      </c>
      <c r="T16" s="16" t="s">
        <v>609</v>
      </c>
    </row>
    <row r="17" spans="1:20" x14ac:dyDescent="0.3">
      <c r="A17" s="11"/>
      <c r="B17" s="11"/>
      <c r="C17" s="16" t="s">
        <v>621</v>
      </c>
      <c r="D17" s="16" t="s">
        <v>622</v>
      </c>
      <c r="E17" s="16" t="s">
        <v>622</v>
      </c>
      <c r="F17" s="16" t="s">
        <v>622</v>
      </c>
      <c r="G17" s="16" t="s">
        <v>622</v>
      </c>
      <c r="H17" s="16" t="s">
        <v>622</v>
      </c>
      <c r="I17" s="16" t="s">
        <v>622</v>
      </c>
      <c r="J17" s="16" t="s">
        <v>622</v>
      </c>
      <c r="K17" s="16" t="s">
        <v>622</v>
      </c>
      <c r="L17" s="16" t="s">
        <v>622</v>
      </c>
      <c r="M17" s="16" t="s">
        <v>622</v>
      </c>
      <c r="N17" s="16" t="s">
        <v>622</v>
      </c>
      <c r="O17" s="16" t="s">
        <v>622</v>
      </c>
      <c r="P17" s="16" t="s">
        <v>622</v>
      </c>
      <c r="Q17" s="16" t="s">
        <v>622</v>
      </c>
      <c r="R17" s="16" t="s">
        <v>622</v>
      </c>
      <c r="S17" s="16" t="s">
        <v>622</v>
      </c>
      <c r="T17" s="16">
        <v>0.97250000000000003</v>
      </c>
    </row>
    <row r="18" spans="1:20" x14ac:dyDescent="0.3">
      <c r="A18" s="11"/>
      <c r="B18" s="12"/>
      <c r="C18" s="16" t="s">
        <v>623</v>
      </c>
      <c r="D18" s="17" t="s">
        <v>569</v>
      </c>
      <c r="E18" s="17" t="s">
        <v>569</v>
      </c>
      <c r="F18" s="17" t="s">
        <v>569</v>
      </c>
      <c r="G18" s="17" t="s">
        <v>569</v>
      </c>
      <c r="H18" s="17" t="s">
        <v>569</v>
      </c>
      <c r="I18" s="17" t="s">
        <v>569</v>
      </c>
      <c r="J18" s="17" t="s">
        <v>569</v>
      </c>
      <c r="K18" s="17" t="s">
        <v>569</v>
      </c>
      <c r="L18" s="17" t="s">
        <v>569</v>
      </c>
      <c r="M18" s="17" t="s">
        <v>569</v>
      </c>
      <c r="N18" s="17" t="s">
        <v>569</v>
      </c>
      <c r="O18" s="17" t="s">
        <v>569</v>
      </c>
      <c r="P18" s="17" t="s">
        <v>569</v>
      </c>
      <c r="Q18" s="17" t="s">
        <v>569</v>
      </c>
      <c r="R18" s="17" t="s">
        <v>569</v>
      </c>
      <c r="S18" s="17" t="s">
        <v>569</v>
      </c>
      <c r="T18" s="16" t="s">
        <v>565</v>
      </c>
    </row>
    <row r="19" spans="1:20" x14ac:dyDescent="0.3">
      <c r="A19" s="11"/>
      <c r="B19" s="15" t="s">
        <v>628</v>
      </c>
      <c r="C19" s="16" t="s">
        <v>619</v>
      </c>
      <c r="D19" s="16">
        <v>6.9470000000000001</v>
      </c>
      <c r="E19" s="16">
        <v>0.60199999999999998</v>
      </c>
      <c r="F19" s="16">
        <v>13.571</v>
      </c>
      <c r="G19" s="16">
        <v>4.3230000000000004</v>
      </c>
      <c r="H19" s="16">
        <v>0.47699999999999998</v>
      </c>
      <c r="I19" s="16">
        <v>6.7649999999999997</v>
      </c>
      <c r="J19" s="16">
        <v>28.702999999999999</v>
      </c>
      <c r="K19" s="16">
        <v>6.3769999999999998</v>
      </c>
      <c r="L19" s="16">
        <v>2.915</v>
      </c>
      <c r="M19" s="16">
        <v>13.491</v>
      </c>
      <c r="N19" s="16">
        <v>3.6539999999999999</v>
      </c>
      <c r="O19" s="16">
        <v>3.9119999999999999</v>
      </c>
      <c r="P19" s="16">
        <v>1.159</v>
      </c>
      <c r="Q19" s="16">
        <v>1.623</v>
      </c>
      <c r="R19" s="16">
        <v>3.5960000000000001</v>
      </c>
      <c r="S19" s="16">
        <v>2.1440000000000001</v>
      </c>
      <c r="T19" s="16">
        <v>0.22800000000000001</v>
      </c>
    </row>
    <row r="20" spans="1:20" x14ac:dyDescent="0.3">
      <c r="A20" s="11"/>
      <c r="B20" s="11"/>
      <c r="C20" s="16" t="s">
        <v>620</v>
      </c>
      <c r="D20" s="16" t="s">
        <v>589</v>
      </c>
      <c r="E20" s="16" t="s">
        <v>592</v>
      </c>
      <c r="F20" s="16" t="s">
        <v>595</v>
      </c>
      <c r="G20" s="16" t="s">
        <v>585</v>
      </c>
      <c r="H20" s="16" t="s">
        <v>574</v>
      </c>
      <c r="I20" s="16" t="s">
        <v>589</v>
      </c>
      <c r="J20" s="16" t="s">
        <v>601</v>
      </c>
      <c r="K20" s="16" t="s">
        <v>585</v>
      </c>
      <c r="L20" s="16" t="s">
        <v>574</v>
      </c>
      <c r="M20" s="16" t="s">
        <v>578</v>
      </c>
      <c r="N20" s="16" t="s">
        <v>581</v>
      </c>
      <c r="O20" s="16" t="s">
        <v>568</v>
      </c>
      <c r="P20" s="16" t="s">
        <v>606</v>
      </c>
      <c r="Q20" s="16" t="s">
        <v>574</v>
      </c>
      <c r="R20" s="16" t="s">
        <v>589</v>
      </c>
      <c r="S20" s="16" t="s">
        <v>604</v>
      </c>
      <c r="T20" s="16" t="s">
        <v>609</v>
      </c>
    </row>
    <row r="21" spans="1:20" x14ac:dyDescent="0.3">
      <c r="A21" s="11"/>
      <c r="B21" s="11"/>
      <c r="C21" s="16" t="s">
        <v>621</v>
      </c>
      <c r="D21" s="16" t="s">
        <v>622</v>
      </c>
      <c r="E21" s="16">
        <v>0.61399999999999999</v>
      </c>
      <c r="F21" s="16" t="s">
        <v>622</v>
      </c>
      <c r="G21" s="16">
        <v>5.1999999999999998E-3</v>
      </c>
      <c r="H21" s="16">
        <v>0.6986</v>
      </c>
      <c r="I21" s="16" t="s">
        <v>622</v>
      </c>
      <c r="J21" s="16" t="s">
        <v>622</v>
      </c>
      <c r="K21" s="16" t="s">
        <v>622</v>
      </c>
      <c r="L21" s="16">
        <v>3.4299999999999997E-2</v>
      </c>
      <c r="M21" s="16" t="s">
        <v>622</v>
      </c>
      <c r="N21" s="16">
        <v>1.2800000000000001E-2</v>
      </c>
      <c r="O21" s="16">
        <v>9.1000000000000004E-3</v>
      </c>
      <c r="P21" s="16">
        <v>0.32540000000000002</v>
      </c>
      <c r="Q21" s="16">
        <v>0.18360000000000001</v>
      </c>
      <c r="R21" s="16">
        <v>1.38E-2</v>
      </c>
      <c r="S21" s="16">
        <v>9.4399999999999998E-2</v>
      </c>
      <c r="T21" s="16">
        <v>0.63439999999999996</v>
      </c>
    </row>
    <row r="22" spans="1:20" x14ac:dyDescent="0.3">
      <c r="A22" s="11"/>
      <c r="B22" s="12"/>
      <c r="C22" s="16" t="s">
        <v>623</v>
      </c>
      <c r="D22" s="17" t="s">
        <v>569</v>
      </c>
      <c r="E22" s="16" t="s">
        <v>565</v>
      </c>
      <c r="F22" s="17" t="s">
        <v>569</v>
      </c>
      <c r="G22" s="17" t="s">
        <v>570</v>
      </c>
      <c r="H22" s="16" t="s">
        <v>565</v>
      </c>
      <c r="I22" s="17" t="s">
        <v>569</v>
      </c>
      <c r="J22" s="17" t="s">
        <v>569</v>
      </c>
      <c r="K22" s="17" t="s">
        <v>569</v>
      </c>
      <c r="L22" s="17" t="s">
        <v>566</v>
      </c>
      <c r="M22" s="17" t="s">
        <v>569</v>
      </c>
      <c r="N22" s="17" t="s">
        <v>566</v>
      </c>
      <c r="O22" s="17" t="s">
        <v>570</v>
      </c>
      <c r="P22" s="16" t="s">
        <v>565</v>
      </c>
      <c r="Q22" s="16" t="s">
        <v>565</v>
      </c>
      <c r="R22" s="17" t="s">
        <v>566</v>
      </c>
      <c r="S22" s="16" t="s">
        <v>565</v>
      </c>
      <c r="T22" s="16" t="s">
        <v>565</v>
      </c>
    </row>
    <row r="23" spans="1:20" x14ac:dyDescent="0.3">
      <c r="A23" s="11"/>
      <c r="B23" s="15" t="s">
        <v>629</v>
      </c>
      <c r="C23" s="16" t="s">
        <v>619</v>
      </c>
      <c r="D23" s="16">
        <v>1.3580000000000001</v>
      </c>
      <c r="E23" s="16">
        <v>2.8650000000000002</v>
      </c>
      <c r="F23" s="16">
        <v>1.647</v>
      </c>
      <c r="G23" s="16">
        <v>1.63</v>
      </c>
      <c r="H23" s="16">
        <v>1.407</v>
      </c>
      <c r="I23" s="16">
        <v>1.0980000000000001</v>
      </c>
      <c r="J23" s="16">
        <v>13.656000000000001</v>
      </c>
      <c r="K23" s="16">
        <v>2.0049999999999999</v>
      </c>
      <c r="L23" s="16">
        <v>1.1679999999999999</v>
      </c>
      <c r="M23" s="16">
        <v>2.8319999999999999</v>
      </c>
      <c r="N23" s="16">
        <v>1.46</v>
      </c>
      <c r="O23" s="16">
        <v>3.47</v>
      </c>
      <c r="P23" s="16">
        <v>3.544</v>
      </c>
      <c r="Q23" s="16">
        <v>2.113</v>
      </c>
      <c r="R23" s="16">
        <v>0.92600000000000005</v>
      </c>
      <c r="S23" s="16">
        <v>2.5859999999999999</v>
      </c>
      <c r="T23" s="16">
        <v>2.3359999999999999</v>
      </c>
    </row>
    <row r="24" spans="1:20" x14ac:dyDescent="0.3">
      <c r="A24" s="11"/>
      <c r="B24" s="11"/>
      <c r="C24" s="16" t="s">
        <v>620</v>
      </c>
      <c r="D24" s="16" t="s">
        <v>590</v>
      </c>
      <c r="E24" s="16" t="s">
        <v>593</v>
      </c>
      <c r="F24" s="16" t="s">
        <v>596</v>
      </c>
      <c r="G24" s="16" t="s">
        <v>586</v>
      </c>
      <c r="H24" s="16" t="s">
        <v>575</v>
      </c>
      <c r="I24" s="16" t="s">
        <v>590</v>
      </c>
      <c r="J24" s="16" t="s">
        <v>602</v>
      </c>
      <c r="K24" s="16" t="s">
        <v>586</v>
      </c>
      <c r="L24" s="16" t="s">
        <v>575</v>
      </c>
      <c r="M24" s="16" t="s">
        <v>579</v>
      </c>
      <c r="N24" s="16" t="s">
        <v>582</v>
      </c>
      <c r="O24" s="16" t="s">
        <v>571</v>
      </c>
      <c r="P24" s="16" t="s">
        <v>607</v>
      </c>
      <c r="Q24" s="16" t="s">
        <v>575</v>
      </c>
      <c r="R24" s="16" t="s">
        <v>590</v>
      </c>
      <c r="S24" s="16" t="s">
        <v>605</v>
      </c>
      <c r="T24" s="16" t="s">
        <v>610</v>
      </c>
    </row>
    <row r="25" spans="1:20" x14ac:dyDescent="0.3">
      <c r="A25" s="11"/>
      <c r="B25" s="11"/>
      <c r="C25" s="16" t="s">
        <v>621</v>
      </c>
      <c r="D25" s="16">
        <v>0.1237</v>
      </c>
      <c r="E25" s="16" t="s">
        <v>622</v>
      </c>
      <c r="F25" s="16">
        <v>0.03</v>
      </c>
      <c r="G25" s="16">
        <v>3.2800000000000003E-2</v>
      </c>
      <c r="H25" s="16">
        <v>9.9099999999999994E-2</v>
      </c>
      <c r="I25" s="16">
        <v>0.34339999999999998</v>
      </c>
      <c r="J25" s="16" t="s">
        <v>622</v>
      </c>
      <c r="K25" s="16">
        <v>3.8999999999999998E-3</v>
      </c>
      <c r="L25" s="16">
        <v>0.26889999999999997</v>
      </c>
      <c r="M25" s="16" t="s">
        <v>622</v>
      </c>
      <c r="N25" s="16">
        <v>7.7299999999999994E-2</v>
      </c>
      <c r="O25" s="16" t="s">
        <v>622</v>
      </c>
      <c r="P25" s="16" t="s">
        <v>622</v>
      </c>
      <c r="Q25" s="16">
        <v>2E-3</v>
      </c>
      <c r="R25" s="16">
        <v>0.56659999999999999</v>
      </c>
      <c r="S25" s="16" t="s">
        <v>622</v>
      </c>
      <c r="T25" s="16">
        <v>2.6499999999999999E-2</v>
      </c>
    </row>
    <row r="26" spans="1:20" x14ac:dyDescent="0.3">
      <c r="A26" s="12"/>
      <c r="B26" s="12"/>
      <c r="C26" s="16" t="s">
        <v>623</v>
      </c>
      <c r="D26" s="16" t="s">
        <v>565</v>
      </c>
      <c r="E26" s="17" t="s">
        <v>569</v>
      </c>
      <c r="F26" s="17" t="s">
        <v>566</v>
      </c>
      <c r="G26" s="17" t="s">
        <v>566</v>
      </c>
      <c r="H26" s="16" t="s">
        <v>565</v>
      </c>
      <c r="I26" s="16" t="s">
        <v>565</v>
      </c>
      <c r="J26" s="17" t="s">
        <v>569</v>
      </c>
      <c r="K26" s="17" t="s">
        <v>570</v>
      </c>
      <c r="L26" s="16" t="s">
        <v>565</v>
      </c>
      <c r="M26" s="17" t="s">
        <v>569</v>
      </c>
      <c r="N26" s="16" t="s">
        <v>565</v>
      </c>
      <c r="O26" s="17" t="s">
        <v>569</v>
      </c>
      <c r="P26" s="17" t="s">
        <v>569</v>
      </c>
      <c r="Q26" s="17" t="s">
        <v>570</v>
      </c>
      <c r="R26" s="16" t="s">
        <v>565</v>
      </c>
      <c r="S26" s="17" t="s">
        <v>569</v>
      </c>
      <c r="T26" s="17" t="s">
        <v>566</v>
      </c>
    </row>
  </sheetData>
  <mergeCells count="8">
    <mergeCell ref="A3:A14"/>
    <mergeCell ref="B3:B6"/>
    <mergeCell ref="B7:B10"/>
    <mergeCell ref="B11:B14"/>
    <mergeCell ref="A15:A26"/>
    <mergeCell ref="B15:B18"/>
    <mergeCell ref="B19:B22"/>
    <mergeCell ref="B23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50DB-C4B9-4E90-B4C9-8F1DA3A53AED}">
  <dimension ref="A1:N3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6" customWidth="1"/>
    <col min="2" max="2" width="17" customWidth="1"/>
    <col min="3" max="3" width="13" customWidth="1"/>
    <col min="4" max="4" width="11" customWidth="1"/>
    <col min="5" max="5" width="15" customWidth="1"/>
    <col min="6" max="6" width="9" customWidth="1"/>
    <col min="7" max="7" width="10" customWidth="1"/>
    <col min="8" max="8" width="9" customWidth="1"/>
    <col min="9" max="11" width="8" customWidth="1"/>
    <col min="12" max="12" width="13" customWidth="1"/>
    <col min="13" max="13" width="8" customWidth="1"/>
    <col min="14" max="14" width="15" customWidth="1"/>
  </cols>
  <sheetData>
    <row r="1" spans="1:14" ht="41.4" x14ac:dyDescent="0.3">
      <c r="A1" s="18" t="s">
        <v>634</v>
      </c>
      <c r="B1" s="18" t="s">
        <v>635</v>
      </c>
      <c r="C1" s="18" t="s">
        <v>449</v>
      </c>
      <c r="D1" s="18" t="s">
        <v>636</v>
      </c>
      <c r="E1" s="18" t="s">
        <v>637</v>
      </c>
      <c r="F1" s="18" t="s">
        <v>638</v>
      </c>
      <c r="G1" s="18" t="s">
        <v>639</v>
      </c>
      <c r="H1" s="18" t="s">
        <v>640</v>
      </c>
      <c r="I1" s="18" t="s">
        <v>641</v>
      </c>
      <c r="J1" s="18" t="s">
        <v>642</v>
      </c>
      <c r="K1" s="18" t="s">
        <v>643</v>
      </c>
      <c r="L1" s="18" t="s">
        <v>644</v>
      </c>
      <c r="M1" s="18" t="s">
        <v>645</v>
      </c>
      <c r="N1" s="18" t="s">
        <v>646</v>
      </c>
    </row>
    <row r="2" spans="1:14" x14ac:dyDescent="0.3">
      <c r="A2" s="19" t="s">
        <v>584</v>
      </c>
      <c r="B2" s="19" t="s">
        <v>528</v>
      </c>
      <c r="C2" s="20" t="s">
        <v>30</v>
      </c>
      <c r="D2" s="20" t="s">
        <v>587</v>
      </c>
      <c r="E2" s="19" t="s">
        <v>647</v>
      </c>
      <c r="F2" s="20">
        <v>3.4</v>
      </c>
      <c r="G2" s="21">
        <v>-1.2661</v>
      </c>
      <c r="H2" s="21">
        <v>9.4399999999999998E-2</v>
      </c>
      <c r="I2" s="22">
        <v>-31.8</v>
      </c>
      <c r="J2" s="23">
        <v>16.2</v>
      </c>
      <c r="K2" s="23">
        <v>12.2</v>
      </c>
      <c r="L2" s="24">
        <v>39.020000000000003</v>
      </c>
      <c r="M2" s="23">
        <v>65.3</v>
      </c>
      <c r="N2" s="20" t="str">
        <f>INDEX($C$2:$C$3,MATCH(MAX($M$2:$M$3),$M$2:$M$3,0))</f>
        <v>A. fistulosum</v>
      </c>
    </row>
    <row r="3" spans="1:14" x14ac:dyDescent="0.3">
      <c r="A3" s="19" t="s">
        <v>584</v>
      </c>
      <c r="B3" s="19" t="s">
        <v>528</v>
      </c>
      <c r="C3" s="20" t="s">
        <v>150</v>
      </c>
      <c r="D3" s="20" t="s">
        <v>587</v>
      </c>
      <c r="E3" s="19" t="s">
        <v>647</v>
      </c>
      <c r="F3" s="20">
        <v>3.4</v>
      </c>
      <c r="G3" s="21">
        <v>-1.423</v>
      </c>
      <c r="H3" s="21">
        <v>0.1255</v>
      </c>
      <c r="I3" s="22">
        <v>-42.6</v>
      </c>
      <c r="J3" s="23">
        <v>25.9</v>
      </c>
      <c r="K3" s="23">
        <v>17.2</v>
      </c>
      <c r="L3" s="24">
        <v>33.49</v>
      </c>
      <c r="M3" s="23">
        <v>27.1</v>
      </c>
      <c r="N3" s="20" t="str">
        <f>INDEX($C$2:$C$3,MATCH(MAX($M$2:$M$3),$M$2:$M$3,0))</f>
        <v>A. fistulosum</v>
      </c>
    </row>
    <row r="4" spans="1:14" x14ac:dyDescent="0.3">
      <c r="A4" s="25" t="s">
        <v>563</v>
      </c>
      <c r="B4" s="25" t="s">
        <v>530</v>
      </c>
      <c r="C4" s="26" t="s">
        <v>30</v>
      </c>
      <c r="D4" s="26" t="s">
        <v>572</v>
      </c>
      <c r="E4" s="25" t="s">
        <v>648</v>
      </c>
      <c r="F4" s="26">
        <v>5.4</v>
      </c>
      <c r="G4" s="27">
        <v>-1.4480999999999999</v>
      </c>
      <c r="H4" s="27">
        <v>0.1613</v>
      </c>
      <c r="I4" s="28">
        <v>-32.6</v>
      </c>
      <c r="J4" s="29">
        <v>19</v>
      </c>
      <c r="K4" s="29">
        <v>13.1</v>
      </c>
      <c r="L4" s="30">
        <v>47.13</v>
      </c>
      <c r="M4" s="29">
        <v>48.6</v>
      </c>
      <c r="N4" s="26" t="str">
        <f>INDEX($C$4:$C$5,MATCH(MAX($M$4:$M$5),$M$4:$M$5,0))</f>
        <v>Hybrid</v>
      </c>
    </row>
    <row r="5" spans="1:14" x14ac:dyDescent="0.3">
      <c r="A5" s="25" t="s">
        <v>563</v>
      </c>
      <c r="B5" s="25" t="s">
        <v>530</v>
      </c>
      <c r="C5" s="26" t="s">
        <v>150</v>
      </c>
      <c r="D5" s="26" t="s">
        <v>572</v>
      </c>
      <c r="E5" s="25" t="s">
        <v>648</v>
      </c>
      <c r="F5" s="26">
        <v>5.4</v>
      </c>
      <c r="G5" s="27">
        <v>-0.86909999999999998</v>
      </c>
      <c r="H5" s="27">
        <v>0.19939999999999999</v>
      </c>
      <c r="I5" s="28">
        <v>-28.5</v>
      </c>
      <c r="J5" s="29">
        <v>15</v>
      </c>
      <c r="K5" s="29">
        <v>14.4</v>
      </c>
      <c r="L5" s="30">
        <v>35.71</v>
      </c>
      <c r="M5" s="29">
        <v>52.1</v>
      </c>
      <c r="N5" s="26" t="str">
        <f>INDEX($C$4:$C$5,MATCH(MAX($M$4:$M$5),$M$4:$M$5,0))</f>
        <v>Hybrid</v>
      </c>
    </row>
    <row r="6" spans="1:14" x14ac:dyDescent="0.3">
      <c r="A6" s="19" t="s">
        <v>573</v>
      </c>
      <c r="B6" s="19" t="s">
        <v>534</v>
      </c>
      <c r="C6" s="20" t="s">
        <v>30</v>
      </c>
      <c r="D6" s="20" t="s">
        <v>576</v>
      </c>
      <c r="E6" s="19" t="s">
        <v>649</v>
      </c>
      <c r="F6" s="20" t="s">
        <v>0</v>
      </c>
      <c r="G6" s="21">
        <v>-0.27139999999999997</v>
      </c>
      <c r="H6" s="21">
        <v>3.3099999999999997E-2</v>
      </c>
      <c r="I6" s="22">
        <v>-17.600000000000001</v>
      </c>
      <c r="J6" s="23">
        <v>9.6</v>
      </c>
      <c r="K6" s="23">
        <v>10</v>
      </c>
      <c r="L6" s="24">
        <v>15.91</v>
      </c>
      <c r="M6" s="23">
        <v>52.3</v>
      </c>
      <c r="N6" s="20" t="str">
        <f>INDEX($C$6:$C$7,MATCH(MAX($M$6:$M$7),$M$6:$M$7,0))</f>
        <v>A. fistulosum</v>
      </c>
    </row>
    <row r="7" spans="1:14" x14ac:dyDescent="0.3">
      <c r="A7" s="19" t="s">
        <v>573</v>
      </c>
      <c r="B7" s="19" t="s">
        <v>534</v>
      </c>
      <c r="C7" s="20" t="s">
        <v>150</v>
      </c>
      <c r="D7" s="20" t="s">
        <v>576</v>
      </c>
      <c r="E7" s="19" t="s">
        <v>649</v>
      </c>
      <c r="F7" s="20" t="s">
        <v>0</v>
      </c>
      <c r="G7" s="21">
        <v>-0.16919999999999999</v>
      </c>
      <c r="H7" s="21">
        <v>4.9299999999999997E-2</v>
      </c>
      <c r="I7" s="22">
        <v>-17.399999999999999</v>
      </c>
      <c r="J7" s="23">
        <v>11.3</v>
      </c>
      <c r="K7" s="23">
        <v>12.7</v>
      </c>
      <c r="L7" s="24">
        <v>11.58</v>
      </c>
      <c r="M7" s="23">
        <v>46.5</v>
      </c>
      <c r="N7" s="20" t="str">
        <f>INDEX($C$6:$C$7,MATCH(MAX($M$6:$M$7),$M$6:$M$7,0))</f>
        <v>A. fistulosum</v>
      </c>
    </row>
    <row r="8" spans="1:14" x14ac:dyDescent="0.3">
      <c r="A8" s="25" t="s">
        <v>577</v>
      </c>
      <c r="B8" s="25" t="s">
        <v>534</v>
      </c>
      <c r="C8" s="26" t="s">
        <v>30</v>
      </c>
      <c r="D8" s="26" t="s">
        <v>576</v>
      </c>
      <c r="E8" s="25" t="s">
        <v>649</v>
      </c>
      <c r="F8" s="26" t="s">
        <v>0</v>
      </c>
      <c r="G8" s="27">
        <v>-0.35549999999999998</v>
      </c>
      <c r="H8" s="27">
        <v>2.2499999999999999E-2</v>
      </c>
      <c r="I8" s="28">
        <v>-16.8</v>
      </c>
      <c r="J8" s="29">
        <v>9.6</v>
      </c>
      <c r="K8" s="29">
        <v>5.4</v>
      </c>
      <c r="L8" s="30">
        <v>23.42</v>
      </c>
      <c r="M8" s="29">
        <v>40.700000000000003</v>
      </c>
      <c r="N8" s="26" t="str">
        <f>INDEX($C$8:$C$9,MATCH(MAX($M$8:$M$9),$M$8:$M$9,0))</f>
        <v>Hybrid</v>
      </c>
    </row>
    <row r="9" spans="1:14" x14ac:dyDescent="0.3">
      <c r="A9" s="25" t="s">
        <v>577</v>
      </c>
      <c r="B9" s="25" t="s">
        <v>534</v>
      </c>
      <c r="C9" s="26" t="s">
        <v>150</v>
      </c>
      <c r="D9" s="26" t="s">
        <v>576</v>
      </c>
      <c r="E9" s="25" t="s">
        <v>649</v>
      </c>
      <c r="F9" s="26" t="s">
        <v>0</v>
      </c>
      <c r="G9" s="27">
        <v>-0.1216</v>
      </c>
      <c r="H9" s="27">
        <v>5.2900000000000003E-2</v>
      </c>
      <c r="I9" s="28">
        <v>-6.3</v>
      </c>
      <c r="J9" s="29">
        <v>3.2</v>
      </c>
      <c r="K9" s="29">
        <v>7.2</v>
      </c>
      <c r="L9" s="30">
        <v>22.54</v>
      </c>
      <c r="M9" s="29">
        <v>63.9</v>
      </c>
      <c r="N9" s="26" t="str">
        <f>INDEX($C$8:$C$9,MATCH(MAX($M$8:$M$9),$M$8:$M$9,0))</f>
        <v>Hybrid</v>
      </c>
    </row>
    <row r="10" spans="1:14" x14ac:dyDescent="0.3">
      <c r="A10" s="19" t="s">
        <v>580</v>
      </c>
      <c r="B10" s="19" t="s">
        <v>534</v>
      </c>
      <c r="C10" s="20" t="s">
        <v>30</v>
      </c>
      <c r="D10" s="20" t="s">
        <v>576</v>
      </c>
      <c r="E10" s="19" t="s">
        <v>649</v>
      </c>
      <c r="F10" s="20" t="s">
        <v>0</v>
      </c>
      <c r="G10" s="21">
        <v>-1.2686999999999999</v>
      </c>
      <c r="H10" s="21">
        <v>0.109</v>
      </c>
      <c r="I10" s="22">
        <v>-27.2</v>
      </c>
      <c r="J10" s="23">
        <v>11.5</v>
      </c>
      <c r="K10" s="23">
        <v>9.9</v>
      </c>
      <c r="L10" s="24">
        <v>46.77</v>
      </c>
      <c r="M10" s="23">
        <v>56.5</v>
      </c>
      <c r="N10" s="20" t="str">
        <f>INDEX($C$10:$C$11,MATCH(MAX($M$10:$M$11),$M$10:$M$11,0))</f>
        <v>A. fistulosum</v>
      </c>
    </row>
    <row r="11" spans="1:14" x14ac:dyDescent="0.3">
      <c r="A11" s="19" t="s">
        <v>580</v>
      </c>
      <c r="B11" s="19" t="s">
        <v>534</v>
      </c>
      <c r="C11" s="20" t="s">
        <v>150</v>
      </c>
      <c r="D11" s="20" t="s">
        <v>576</v>
      </c>
      <c r="E11" s="19" t="s">
        <v>649</v>
      </c>
      <c r="F11" s="20" t="s">
        <v>0</v>
      </c>
      <c r="G11" s="21">
        <v>-1.0472999999999999</v>
      </c>
      <c r="H11" s="21">
        <v>0.14280000000000001</v>
      </c>
      <c r="I11" s="22">
        <v>-29.9</v>
      </c>
      <c r="J11" s="23">
        <v>16.899999999999999</v>
      </c>
      <c r="K11" s="23">
        <v>10.199999999999999</v>
      </c>
      <c r="L11" s="24">
        <v>35.43</v>
      </c>
      <c r="M11" s="23">
        <v>40.299999999999997</v>
      </c>
      <c r="N11" s="20" t="str">
        <f>INDEX($C$10:$C$11,MATCH(MAX($M$10:$M$11),$M$10:$M$11,0))</f>
        <v>A. fistulosum</v>
      </c>
    </row>
    <row r="12" spans="1:14" x14ac:dyDescent="0.3">
      <c r="A12" s="25" t="s">
        <v>583</v>
      </c>
      <c r="B12" s="25" t="s">
        <v>545</v>
      </c>
      <c r="C12" s="26" t="s">
        <v>30</v>
      </c>
      <c r="D12" s="26" t="s">
        <v>576</v>
      </c>
      <c r="E12" s="25" t="s">
        <v>649</v>
      </c>
      <c r="F12" s="26" t="s">
        <v>0</v>
      </c>
      <c r="G12" s="27">
        <v>0.55300000000000005</v>
      </c>
      <c r="H12" s="27">
        <v>6.1100000000000002E-2</v>
      </c>
      <c r="I12" s="28">
        <v>53.7</v>
      </c>
      <c r="J12" s="29">
        <v>22.7</v>
      </c>
      <c r="K12" s="29">
        <v>20.7</v>
      </c>
      <c r="L12" s="30">
        <v>14.91</v>
      </c>
      <c r="M12" s="29">
        <v>53.7</v>
      </c>
      <c r="N12" s="26" t="str">
        <f>INDEX($C$12:$C$13,MATCH(MAX($M$12:$M$13),$M$12:$M$13,0))</f>
        <v>A. fistulosum</v>
      </c>
    </row>
    <row r="13" spans="1:14" x14ac:dyDescent="0.3">
      <c r="A13" s="25" t="s">
        <v>583</v>
      </c>
      <c r="B13" s="25" t="s">
        <v>545</v>
      </c>
      <c r="C13" s="26" t="s">
        <v>150</v>
      </c>
      <c r="D13" s="26" t="s">
        <v>576</v>
      </c>
      <c r="E13" s="25" t="s">
        <v>649</v>
      </c>
      <c r="F13" s="26" t="s">
        <v>0</v>
      </c>
      <c r="G13" s="27">
        <v>0.49059999999999998</v>
      </c>
      <c r="H13" s="27">
        <v>6.83E-2</v>
      </c>
      <c r="I13" s="28">
        <v>60.6</v>
      </c>
      <c r="J13" s="29">
        <v>28.3</v>
      </c>
      <c r="K13" s="29">
        <v>24</v>
      </c>
      <c r="L13" s="30">
        <v>13.22</v>
      </c>
      <c r="M13" s="29">
        <v>44.4</v>
      </c>
      <c r="N13" s="26" t="str">
        <f>INDEX($C$12:$C$13,MATCH(MAX($M$12:$M$13),$M$12:$M$13,0))</f>
        <v>A. fistulosum</v>
      </c>
    </row>
    <row r="14" spans="1:14" x14ac:dyDescent="0.3">
      <c r="A14" s="19" t="s">
        <v>591</v>
      </c>
      <c r="B14" s="19" t="s">
        <v>630</v>
      </c>
      <c r="C14" s="20" t="s">
        <v>30</v>
      </c>
      <c r="D14" s="20" t="s">
        <v>587</v>
      </c>
      <c r="E14" s="19" t="s">
        <v>647</v>
      </c>
      <c r="F14" s="20">
        <v>2.2000000000000002</v>
      </c>
      <c r="G14" s="21">
        <v>-1.6409</v>
      </c>
      <c r="H14" s="21">
        <v>0.16470000000000001</v>
      </c>
      <c r="I14" s="22">
        <v>-19.100000000000001</v>
      </c>
      <c r="J14" s="23">
        <v>7.8</v>
      </c>
      <c r="K14" s="23">
        <v>7.3</v>
      </c>
      <c r="L14" s="24">
        <v>93.28</v>
      </c>
      <c r="M14" s="23">
        <v>56</v>
      </c>
      <c r="N14" s="20" t="str">
        <f>INDEX($C$14:$C$15,MATCH(MAX($M$14:$M$15),$M$14:$M$15,0))</f>
        <v>A. fistulosum</v>
      </c>
    </row>
    <row r="15" spans="1:14" x14ac:dyDescent="0.3">
      <c r="A15" s="19" t="s">
        <v>591</v>
      </c>
      <c r="B15" s="19" t="s">
        <v>630</v>
      </c>
      <c r="C15" s="20" t="s">
        <v>150</v>
      </c>
      <c r="D15" s="20" t="s">
        <v>587</v>
      </c>
      <c r="E15" s="19" t="s">
        <v>647</v>
      </c>
      <c r="F15" s="20">
        <v>2.2000000000000002</v>
      </c>
      <c r="G15" s="21">
        <v>-1.8646</v>
      </c>
      <c r="H15" s="21">
        <v>0.14899999999999999</v>
      </c>
      <c r="I15" s="22">
        <v>-22.1</v>
      </c>
      <c r="J15" s="23">
        <v>9.1999999999999993</v>
      </c>
      <c r="K15" s="23">
        <v>5.8</v>
      </c>
      <c r="L15" s="24">
        <v>91.4</v>
      </c>
      <c r="M15" s="23">
        <v>41</v>
      </c>
      <c r="N15" s="20" t="str">
        <f>INDEX($C$14:$C$15,MATCH(MAX($M$14:$M$15),$M$14:$M$15,0))</f>
        <v>A. fistulosum</v>
      </c>
    </row>
    <row r="16" spans="1:14" x14ac:dyDescent="0.3">
      <c r="A16" s="25" t="s">
        <v>594</v>
      </c>
      <c r="B16" s="25" t="s">
        <v>631</v>
      </c>
      <c r="C16" s="26" t="s">
        <v>30</v>
      </c>
      <c r="D16" s="26" t="s">
        <v>576</v>
      </c>
      <c r="E16" s="25" t="s">
        <v>649</v>
      </c>
      <c r="F16" s="26" t="s">
        <v>0</v>
      </c>
      <c r="G16" s="27">
        <v>0.36670000000000003</v>
      </c>
      <c r="H16" s="27">
        <v>6.3600000000000004E-2</v>
      </c>
      <c r="I16" s="28">
        <v>27.5</v>
      </c>
      <c r="J16" s="29">
        <v>12</v>
      </c>
      <c r="K16" s="29">
        <v>12.9</v>
      </c>
      <c r="L16" s="30">
        <v>18.27</v>
      </c>
      <c r="M16" s="29">
        <v>66.7</v>
      </c>
      <c r="N16" s="26" t="str">
        <f>INDEX($C$16:$C$17,MATCH(MAX($M$16:$M$17),$M$16:$M$17,0))</f>
        <v>A. fistulosum</v>
      </c>
    </row>
    <row r="17" spans="1:14" x14ac:dyDescent="0.3">
      <c r="A17" s="25" t="s">
        <v>594</v>
      </c>
      <c r="B17" s="25" t="s">
        <v>631</v>
      </c>
      <c r="C17" s="26" t="s">
        <v>150</v>
      </c>
      <c r="D17" s="26" t="s">
        <v>576</v>
      </c>
      <c r="E17" s="25" t="s">
        <v>649</v>
      </c>
      <c r="F17" s="26" t="s">
        <v>0</v>
      </c>
      <c r="G17" s="27">
        <v>0.8034</v>
      </c>
      <c r="H17" s="27">
        <v>7.4399999999999994E-2</v>
      </c>
      <c r="I17" s="28">
        <v>63.6</v>
      </c>
      <c r="J17" s="29">
        <v>30.7</v>
      </c>
      <c r="K17" s="29">
        <v>14.1</v>
      </c>
      <c r="L17" s="30">
        <v>19.32</v>
      </c>
      <c r="M17" s="29">
        <v>25</v>
      </c>
      <c r="N17" s="26" t="str">
        <f>INDEX($C$16:$C$17,MATCH(MAX($M$16:$M$17),$M$16:$M$17,0))</f>
        <v>A. fistulosum</v>
      </c>
    </row>
    <row r="18" spans="1:14" x14ac:dyDescent="0.3">
      <c r="A18" s="19" t="s">
        <v>588</v>
      </c>
      <c r="B18" s="19" t="s">
        <v>632</v>
      </c>
      <c r="C18" s="20" t="s">
        <v>30</v>
      </c>
      <c r="D18" s="20" t="s">
        <v>576</v>
      </c>
      <c r="E18" s="19" t="s">
        <v>649</v>
      </c>
      <c r="F18" s="20" t="s">
        <v>0</v>
      </c>
      <c r="G18" s="21">
        <v>-0.2366</v>
      </c>
      <c r="H18" s="21">
        <v>5.8999999999999997E-2</v>
      </c>
      <c r="I18" s="22">
        <v>-3.7</v>
      </c>
      <c r="J18" s="23">
        <v>1.5</v>
      </c>
      <c r="K18" s="23">
        <v>4.9000000000000004</v>
      </c>
      <c r="L18" s="24">
        <v>72.78</v>
      </c>
      <c r="M18" s="23">
        <v>67.099999999999994</v>
      </c>
      <c r="N18" s="20" t="str">
        <f>INDEX($C$18:$C$19,MATCH(MAX($M$18:$M$19),$M$18:$M$19,0))</f>
        <v>A. fistulosum</v>
      </c>
    </row>
    <row r="19" spans="1:14" x14ac:dyDescent="0.3">
      <c r="A19" s="19" t="s">
        <v>588</v>
      </c>
      <c r="B19" s="19" t="s">
        <v>632</v>
      </c>
      <c r="C19" s="20" t="s">
        <v>150</v>
      </c>
      <c r="D19" s="20" t="s">
        <v>576</v>
      </c>
      <c r="E19" s="19" t="s">
        <v>649</v>
      </c>
      <c r="F19" s="20" t="s">
        <v>0</v>
      </c>
      <c r="G19" s="21">
        <v>-0.71509999999999996</v>
      </c>
      <c r="H19" s="21">
        <v>9.4299999999999995E-2</v>
      </c>
      <c r="I19" s="22">
        <v>-12.3</v>
      </c>
      <c r="J19" s="23">
        <v>4.5999999999999996</v>
      </c>
      <c r="K19" s="23">
        <v>5.9</v>
      </c>
      <c r="L19" s="24">
        <v>65.33</v>
      </c>
      <c r="M19" s="23">
        <v>24.3</v>
      </c>
      <c r="N19" s="20" t="str">
        <f>INDEX($C$18:$C$19,MATCH(MAX($M$18:$M$19),$M$18:$M$19,0))</f>
        <v>A. fistulosum</v>
      </c>
    </row>
    <row r="20" spans="1:14" x14ac:dyDescent="0.3">
      <c r="A20" s="25" t="s">
        <v>598</v>
      </c>
      <c r="B20" s="25" t="s">
        <v>630</v>
      </c>
      <c r="C20" s="26" t="s">
        <v>30</v>
      </c>
      <c r="D20" s="26" t="s">
        <v>576</v>
      </c>
      <c r="E20" s="25" t="s">
        <v>649</v>
      </c>
      <c r="F20" s="26" t="s">
        <v>0</v>
      </c>
      <c r="G20" s="27">
        <v>-0.50509999999999999</v>
      </c>
      <c r="H20" s="27">
        <v>5.0200000000000002E-2</v>
      </c>
      <c r="I20" s="28">
        <v>-4.5999999999999996</v>
      </c>
      <c r="J20" s="29">
        <v>2.6</v>
      </c>
      <c r="K20" s="29">
        <v>2.4</v>
      </c>
      <c r="L20" s="30">
        <v>122.7</v>
      </c>
      <c r="M20" s="29">
        <v>48.1</v>
      </c>
      <c r="N20" s="26" t="str">
        <f>INDEX($C$20:$C$21,MATCH(MAX($M$20:$M$21),$M$20:$M$21,0))</f>
        <v>Hybrid</v>
      </c>
    </row>
    <row r="21" spans="1:14" x14ac:dyDescent="0.3">
      <c r="A21" s="25" t="s">
        <v>598</v>
      </c>
      <c r="B21" s="25" t="s">
        <v>630</v>
      </c>
      <c r="C21" s="26" t="s">
        <v>150</v>
      </c>
      <c r="D21" s="26" t="s">
        <v>576</v>
      </c>
      <c r="E21" s="25" t="s">
        <v>649</v>
      </c>
      <c r="F21" s="26" t="s">
        <v>0</v>
      </c>
      <c r="G21" s="27">
        <v>-0.50770000000000004</v>
      </c>
      <c r="H21" s="27">
        <v>7.2499999999999995E-2</v>
      </c>
      <c r="I21" s="28">
        <v>-5</v>
      </c>
      <c r="J21" s="29">
        <v>3</v>
      </c>
      <c r="K21" s="29">
        <v>2.7</v>
      </c>
      <c r="L21" s="30">
        <v>118.46</v>
      </c>
      <c r="M21" s="29">
        <v>52.8</v>
      </c>
      <c r="N21" s="26" t="str">
        <f>INDEX($C$20:$C$21,MATCH(MAX($M$20:$M$21),$M$20:$M$21,0))</f>
        <v>Hybrid</v>
      </c>
    </row>
    <row r="22" spans="1:14" x14ac:dyDescent="0.3">
      <c r="A22" s="19" t="s">
        <v>599</v>
      </c>
      <c r="B22" s="19" t="s">
        <v>631</v>
      </c>
      <c r="C22" s="20" t="s">
        <v>30</v>
      </c>
      <c r="D22" s="20" t="s">
        <v>600</v>
      </c>
      <c r="E22" s="19" t="s">
        <v>650</v>
      </c>
      <c r="F22" s="20">
        <v>14.3</v>
      </c>
      <c r="G22" s="21">
        <v>1.0831999999999999</v>
      </c>
      <c r="H22" s="21">
        <v>6.8199999999999997E-2</v>
      </c>
      <c r="I22" s="22">
        <v>52.2</v>
      </c>
      <c r="J22" s="23">
        <v>28.4</v>
      </c>
      <c r="K22" s="23">
        <v>11.1</v>
      </c>
      <c r="L22" s="24">
        <v>31.44</v>
      </c>
      <c r="M22" s="23">
        <v>38.9</v>
      </c>
      <c r="N22" s="20" t="str">
        <f>INDEX($C$22:$C$23,MATCH(MAX($M$22:$M$23),$M$22:$M$23,0))</f>
        <v>Hybrid</v>
      </c>
    </row>
    <row r="23" spans="1:14" x14ac:dyDescent="0.3">
      <c r="A23" s="19" t="s">
        <v>599</v>
      </c>
      <c r="B23" s="19" t="s">
        <v>631</v>
      </c>
      <c r="C23" s="20" t="s">
        <v>150</v>
      </c>
      <c r="D23" s="20" t="s">
        <v>600</v>
      </c>
      <c r="E23" s="19" t="s">
        <v>650</v>
      </c>
      <c r="F23" s="20">
        <v>14.3</v>
      </c>
      <c r="G23" s="21">
        <v>0.87719999999999998</v>
      </c>
      <c r="H23" s="21">
        <v>7.6799999999999993E-2</v>
      </c>
      <c r="I23" s="22">
        <v>39.700000000000003</v>
      </c>
      <c r="J23" s="23">
        <v>26.6</v>
      </c>
      <c r="K23" s="23">
        <v>10.199999999999999</v>
      </c>
      <c r="L23" s="24">
        <v>32.380000000000003</v>
      </c>
      <c r="M23" s="23">
        <v>66.7</v>
      </c>
      <c r="N23" s="20" t="str">
        <f>INDEX($C$22:$C$23,MATCH(MAX($M$22:$M$23),$M$22:$M$23,0))</f>
        <v>Hybrid</v>
      </c>
    </row>
    <row r="24" spans="1:14" x14ac:dyDescent="0.3">
      <c r="A24" s="25" t="s">
        <v>597</v>
      </c>
      <c r="B24" s="25" t="s">
        <v>632</v>
      </c>
      <c r="C24" s="26" t="s">
        <v>30</v>
      </c>
      <c r="D24" s="26" t="s">
        <v>576</v>
      </c>
      <c r="E24" s="25" t="s">
        <v>649</v>
      </c>
      <c r="F24" s="26" t="s">
        <v>0</v>
      </c>
      <c r="G24" s="27">
        <v>0.82030000000000003</v>
      </c>
      <c r="H24" s="27">
        <v>5.8200000000000002E-2</v>
      </c>
      <c r="I24" s="28">
        <v>21.6</v>
      </c>
      <c r="J24" s="29">
        <v>10.8</v>
      </c>
      <c r="K24" s="29">
        <v>6.6</v>
      </c>
      <c r="L24" s="30">
        <v>49.88</v>
      </c>
      <c r="M24" s="29">
        <v>58.3</v>
      </c>
      <c r="N24" s="26" t="str">
        <f>INDEX($C$24:$C$25,MATCH(MAX($M$24:$M$25),$M$24:$M$25,0))</f>
        <v>A. fistulosum</v>
      </c>
    </row>
    <row r="25" spans="1:14" x14ac:dyDescent="0.3">
      <c r="A25" s="25" t="s">
        <v>597</v>
      </c>
      <c r="B25" s="25" t="s">
        <v>632</v>
      </c>
      <c r="C25" s="26" t="s">
        <v>150</v>
      </c>
      <c r="D25" s="26" t="s">
        <v>576</v>
      </c>
      <c r="E25" s="25" t="s">
        <v>649</v>
      </c>
      <c r="F25" s="26" t="s">
        <v>0</v>
      </c>
      <c r="G25" s="27">
        <v>1.0747</v>
      </c>
      <c r="H25" s="27">
        <v>0.1208</v>
      </c>
      <c r="I25" s="28">
        <v>27.6</v>
      </c>
      <c r="J25" s="29">
        <v>15.9</v>
      </c>
      <c r="K25" s="29">
        <v>5.9</v>
      </c>
      <c r="L25" s="30">
        <v>52.04</v>
      </c>
      <c r="M25" s="29">
        <v>37.5</v>
      </c>
      <c r="N25" s="26" t="str">
        <f>INDEX($C$24:$C$25,MATCH(MAX($M$24:$M$25),$M$24:$M$25,0))</f>
        <v>A. fistulosum</v>
      </c>
    </row>
    <row r="26" spans="1:14" x14ac:dyDescent="0.3">
      <c r="A26" s="19" t="s">
        <v>603</v>
      </c>
      <c r="B26" s="19" t="s">
        <v>547</v>
      </c>
      <c r="C26" s="20" t="s">
        <v>30</v>
      </c>
      <c r="D26" s="20" t="s">
        <v>587</v>
      </c>
      <c r="E26" s="19" t="s">
        <v>647</v>
      </c>
      <c r="F26" s="20">
        <v>2.2000000000000002</v>
      </c>
      <c r="G26" s="21">
        <v>7.1099999999999997E-2</v>
      </c>
      <c r="H26" s="21">
        <v>3.1899999999999998E-2</v>
      </c>
      <c r="I26" s="22">
        <v>11.2</v>
      </c>
      <c r="J26" s="23">
        <v>4</v>
      </c>
      <c r="K26" s="23">
        <v>15.6</v>
      </c>
      <c r="L26" s="24">
        <v>7.63</v>
      </c>
      <c r="M26" s="23">
        <v>43.5</v>
      </c>
      <c r="N26" s="20" t="str">
        <f>INDEX($C$26:$C$27,MATCH(MAX($M$26:$M$27),$M$26:$M$27,0))</f>
        <v>Hybrid</v>
      </c>
    </row>
    <row r="27" spans="1:14" x14ac:dyDescent="0.3">
      <c r="A27" s="19" t="s">
        <v>603</v>
      </c>
      <c r="B27" s="19" t="s">
        <v>547</v>
      </c>
      <c r="C27" s="20" t="s">
        <v>150</v>
      </c>
      <c r="D27" s="20" t="s">
        <v>587</v>
      </c>
      <c r="E27" s="19" t="s">
        <v>647</v>
      </c>
      <c r="F27" s="20">
        <v>2.2000000000000002</v>
      </c>
      <c r="G27" s="21">
        <v>2.5399999999999999E-2</v>
      </c>
      <c r="H27" s="21">
        <v>1.52E-2</v>
      </c>
      <c r="I27" s="22">
        <v>10.4</v>
      </c>
      <c r="J27" s="23">
        <v>4</v>
      </c>
      <c r="K27" s="23">
        <v>13.3</v>
      </c>
      <c r="L27" s="24">
        <v>4.43</v>
      </c>
      <c r="M27" s="23">
        <v>59.7</v>
      </c>
      <c r="N27" s="20" t="str">
        <f>INDEX($C$26:$C$27,MATCH(MAX($M$26:$M$27),$M$26:$M$27,0))</f>
        <v>Hybrid</v>
      </c>
    </row>
    <row r="28" spans="1:14" x14ac:dyDescent="0.3">
      <c r="A28" s="25" t="s">
        <v>1</v>
      </c>
      <c r="B28" s="25" t="s">
        <v>633</v>
      </c>
      <c r="C28" s="26" t="s">
        <v>30</v>
      </c>
      <c r="D28" s="26" t="s">
        <v>608</v>
      </c>
      <c r="E28" s="25" t="s">
        <v>647</v>
      </c>
      <c r="F28" s="26">
        <v>8</v>
      </c>
      <c r="G28" s="27">
        <v>-2.6572</v>
      </c>
      <c r="H28" s="27">
        <v>0.25019999999999998</v>
      </c>
      <c r="I28" s="28">
        <v>-39</v>
      </c>
      <c r="J28" s="29">
        <v>24.2</v>
      </c>
      <c r="K28" s="29">
        <v>17.5</v>
      </c>
      <c r="L28" s="30">
        <v>66.34</v>
      </c>
      <c r="M28" s="29">
        <v>44.4</v>
      </c>
      <c r="N28" s="26" t="str">
        <f>INDEX($C$28:$C$29,MATCH(MAX($M$28:$M$29),$M$28:$M$29,0))</f>
        <v>Hybrid</v>
      </c>
    </row>
    <row r="29" spans="1:14" x14ac:dyDescent="0.3">
      <c r="A29" s="25" t="s">
        <v>1</v>
      </c>
      <c r="B29" s="25" t="s">
        <v>633</v>
      </c>
      <c r="C29" s="26" t="s">
        <v>150</v>
      </c>
      <c r="D29" s="26" t="s">
        <v>608</v>
      </c>
      <c r="E29" s="25" t="s">
        <v>647</v>
      </c>
      <c r="F29" s="26">
        <v>8</v>
      </c>
      <c r="G29" s="27">
        <v>-2.3363</v>
      </c>
      <c r="H29" s="27">
        <v>0.27589999999999998</v>
      </c>
      <c r="I29" s="28">
        <v>-37.200000000000003</v>
      </c>
      <c r="J29" s="29">
        <v>22.5</v>
      </c>
      <c r="K29" s="29">
        <v>12.1</v>
      </c>
      <c r="L29" s="30">
        <v>59.86</v>
      </c>
      <c r="M29" s="29">
        <v>58.3</v>
      </c>
      <c r="N29" s="26" t="str">
        <f>INDEX($C$28:$C$29,MATCH(MAX($M$28:$M$29),$M$28:$M$29,0))</f>
        <v>Hybrid</v>
      </c>
    </row>
    <row r="30" spans="1:14" x14ac:dyDescent="0.3">
      <c r="A30" s="19" t="s">
        <v>480</v>
      </c>
      <c r="B30" s="19" t="s">
        <v>555</v>
      </c>
      <c r="C30" s="20" t="s">
        <v>30</v>
      </c>
      <c r="D30" s="20" t="s">
        <v>576</v>
      </c>
      <c r="E30" s="19" t="s">
        <v>649</v>
      </c>
      <c r="F30" s="20" t="s">
        <v>0</v>
      </c>
      <c r="G30" s="21">
        <v>0.78949999999999998</v>
      </c>
      <c r="H30" s="21">
        <v>5.1900000000000002E-2</v>
      </c>
      <c r="I30" s="22">
        <v>76.3</v>
      </c>
      <c r="J30" s="23">
        <v>36</v>
      </c>
      <c r="K30" s="23">
        <v>14.2</v>
      </c>
      <c r="L30" s="24">
        <v>17.63</v>
      </c>
      <c r="M30" s="23">
        <v>39.4</v>
      </c>
      <c r="N30" s="20" t="str">
        <f>INDEX($C$30:$C$31,MATCH(MAX($M$30:$M$31),$M$30:$M$31,0))</f>
        <v>Hybrid</v>
      </c>
    </row>
    <row r="31" spans="1:14" x14ac:dyDescent="0.3">
      <c r="A31" s="19" t="s">
        <v>480</v>
      </c>
      <c r="B31" s="19" t="s">
        <v>555</v>
      </c>
      <c r="C31" s="20" t="s">
        <v>150</v>
      </c>
      <c r="D31" s="20" t="s">
        <v>576</v>
      </c>
      <c r="E31" s="19" t="s">
        <v>649</v>
      </c>
      <c r="F31" s="20" t="s">
        <v>0</v>
      </c>
      <c r="G31" s="21">
        <v>0.66159999999999997</v>
      </c>
      <c r="H31" s="21">
        <v>6.5199999999999994E-2</v>
      </c>
      <c r="I31" s="22">
        <v>58.5</v>
      </c>
      <c r="J31" s="23">
        <v>24</v>
      </c>
      <c r="K31" s="23">
        <v>13.8</v>
      </c>
      <c r="L31" s="24">
        <v>18.23</v>
      </c>
      <c r="M31" s="23">
        <v>66</v>
      </c>
      <c r="N31" s="20" t="str">
        <f>INDEX($C$30:$C$31,MATCH(MAX($M$30:$M$31),$M$30:$M$31,0))</f>
        <v>Hybrid</v>
      </c>
    </row>
    <row r="32" spans="1:14" x14ac:dyDescent="0.3">
      <c r="A32" s="25" t="s">
        <v>2</v>
      </c>
      <c r="B32" s="25" t="s">
        <v>555</v>
      </c>
      <c r="C32" s="26" t="s">
        <v>30</v>
      </c>
      <c r="D32" s="26" t="s">
        <v>600</v>
      </c>
      <c r="E32" s="25" t="s">
        <v>650</v>
      </c>
      <c r="F32" s="26">
        <v>102</v>
      </c>
      <c r="G32" s="27">
        <v>-3.0078</v>
      </c>
      <c r="H32" s="27">
        <v>0.1114</v>
      </c>
      <c r="I32" s="28">
        <v>-40.5</v>
      </c>
      <c r="J32" s="29">
        <v>14</v>
      </c>
      <c r="K32" s="29">
        <v>3.7</v>
      </c>
      <c r="L32" s="30">
        <v>71.260000000000005</v>
      </c>
      <c r="M32" s="29">
        <v>66.2</v>
      </c>
      <c r="N32" s="26" t="str">
        <f>INDEX($C$32:$C$33,MATCH(MAX($M$32:$M$33),$M$32:$M$33,0))</f>
        <v>A. fistulosum</v>
      </c>
    </row>
    <row r="33" spans="1:14" x14ac:dyDescent="0.3">
      <c r="A33" s="25" t="s">
        <v>2</v>
      </c>
      <c r="B33" s="25" t="s">
        <v>555</v>
      </c>
      <c r="C33" s="26" t="s">
        <v>150</v>
      </c>
      <c r="D33" s="26" t="s">
        <v>600</v>
      </c>
      <c r="E33" s="25" t="s">
        <v>650</v>
      </c>
      <c r="F33" s="26">
        <v>102</v>
      </c>
      <c r="G33" s="27">
        <v>-3.7856999999999998</v>
      </c>
      <c r="H33" s="27">
        <v>0.1628</v>
      </c>
      <c r="I33" s="28">
        <v>-50.5</v>
      </c>
      <c r="J33" s="29">
        <v>19.7</v>
      </c>
      <c r="K33" s="29">
        <v>5.7</v>
      </c>
      <c r="L33" s="30">
        <v>67.33</v>
      </c>
      <c r="M33" s="29">
        <v>25.7</v>
      </c>
      <c r="N33" s="26" t="str">
        <f>INDEX($C$32:$C$33,MATCH(MAX($M$32:$M$33),$M$32:$M$33,0))</f>
        <v>A. fistulosum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32" customWidth="1"/>
    <col min="3" max="4" width="16" customWidth="1"/>
    <col min="5" max="5" width="92" customWidth="1"/>
  </cols>
  <sheetData>
    <row r="1" spans="1:5" ht="30" customHeight="1" x14ac:dyDescent="0.3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</row>
    <row r="2" spans="1:5" x14ac:dyDescent="0.3">
      <c r="A2" s="4" t="s">
        <v>449</v>
      </c>
      <c r="B2" s="4" t="s">
        <v>4</v>
      </c>
      <c r="C2" s="2" t="s">
        <v>0</v>
      </c>
      <c r="D2" s="2" t="s">
        <v>491</v>
      </c>
      <c r="E2" s="4" t="s">
        <v>492</v>
      </c>
    </row>
    <row r="3" spans="1:5" ht="26.4" x14ac:dyDescent="0.3">
      <c r="A3" s="4" t="s">
        <v>450</v>
      </c>
      <c r="B3" s="4" t="s">
        <v>5</v>
      </c>
      <c r="C3" s="2" t="s">
        <v>0</v>
      </c>
      <c r="D3" s="2" t="s">
        <v>491</v>
      </c>
      <c r="E3" s="4" t="s">
        <v>493</v>
      </c>
    </row>
    <row r="4" spans="1:5" x14ac:dyDescent="0.3">
      <c r="A4" s="4" t="s">
        <v>451</v>
      </c>
      <c r="B4" s="4" t="s">
        <v>8</v>
      </c>
      <c r="C4" s="2" t="s">
        <v>494</v>
      </c>
      <c r="D4" s="2" t="s">
        <v>491</v>
      </c>
      <c r="E4" s="4" t="s">
        <v>495</v>
      </c>
    </row>
    <row r="5" spans="1:5" x14ac:dyDescent="0.3">
      <c r="A5" s="4" t="s">
        <v>484</v>
      </c>
      <c r="B5" s="4" t="s">
        <v>9</v>
      </c>
      <c r="C5" s="2" t="s">
        <v>496</v>
      </c>
      <c r="D5" s="2" t="s">
        <v>491</v>
      </c>
      <c r="E5" s="4" t="s">
        <v>497</v>
      </c>
    </row>
    <row r="6" spans="1:5" x14ac:dyDescent="0.3">
      <c r="A6" s="4" t="s">
        <v>452</v>
      </c>
      <c r="B6" s="4" t="s">
        <v>0</v>
      </c>
      <c r="C6" s="2" t="s">
        <v>0</v>
      </c>
      <c r="D6" s="2" t="s">
        <v>498</v>
      </c>
      <c r="E6" s="4" t="s">
        <v>499</v>
      </c>
    </row>
    <row r="7" spans="1:5" x14ac:dyDescent="0.3">
      <c r="A7" s="4" t="s">
        <v>453</v>
      </c>
      <c r="B7" s="4" t="s">
        <v>6</v>
      </c>
      <c r="C7" s="2" t="s">
        <v>0</v>
      </c>
      <c r="D7" s="2" t="s">
        <v>491</v>
      </c>
      <c r="E7" s="4" t="s">
        <v>500</v>
      </c>
    </row>
    <row r="8" spans="1:5" x14ac:dyDescent="0.3">
      <c r="A8" s="4" t="s">
        <v>454</v>
      </c>
      <c r="B8" s="4" t="s">
        <v>10</v>
      </c>
      <c r="C8" s="2" t="s">
        <v>501</v>
      </c>
      <c r="D8" s="2" t="s">
        <v>491</v>
      </c>
      <c r="E8" s="4" t="s">
        <v>502</v>
      </c>
    </row>
    <row r="9" spans="1:5" x14ac:dyDescent="0.3">
      <c r="A9" s="4" t="s">
        <v>482</v>
      </c>
      <c r="B9" s="4" t="s">
        <v>7</v>
      </c>
      <c r="C9" s="2" t="s">
        <v>503</v>
      </c>
      <c r="D9" s="2" t="s">
        <v>491</v>
      </c>
      <c r="E9" s="4" t="s">
        <v>504</v>
      </c>
    </row>
    <row r="10" spans="1:5" x14ac:dyDescent="0.3">
      <c r="A10" s="4" t="s">
        <v>0</v>
      </c>
      <c r="B10" s="4" t="s">
        <v>3</v>
      </c>
      <c r="C10" s="2" t="s">
        <v>0</v>
      </c>
      <c r="D10" s="2" t="s">
        <v>505</v>
      </c>
      <c r="E10" s="4" t="s">
        <v>506</v>
      </c>
    </row>
    <row r="11" spans="1:5" x14ac:dyDescent="0.3">
      <c r="A11" s="4" t="s">
        <v>455</v>
      </c>
      <c r="B11" s="4" t="s">
        <v>17</v>
      </c>
      <c r="C11" s="2" t="s">
        <v>507</v>
      </c>
      <c r="D11" s="2" t="s">
        <v>508</v>
      </c>
      <c r="E11" s="4" t="s">
        <v>509</v>
      </c>
    </row>
    <row r="12" spans="1:5" x14ac:dyDescent="0.3">
      <c r="A12" s="4" t="s">
        <v>456</v>
      </c>
      <c r="B12" s="4" t="s">
        <v>0</v>
      </c>
      <c r="C12" s="2" t="s">
        <v>510</v>
      </c>
      <c r="D12" s="2" t="s">
        <v>511</v>
      </c>
      <c r="E12" s="4" t="s">
        <v>512</v>
      </c>
    </row>
    <row r="13" spans="1:5" x14ac:dyDescent="0.3">
      <c r="A13" s="4" t="s">
        <v>457</v>
      </c>
      <c r="B13" s="4" t="s">
        <v>0</v>
      </c>
      <c r="C13" s="2" t="s">
        <v>513</v>
      </c>
      <c r="D13" s="2" t="s">
        <v>511</v>
      </c>
      <c r="E13" s="4" t="s">
        <v>514</v>
      </c>
    </row>
    <row r="14" spans="1:5" x14ac:dyDescent="0.3">
      <c r="A14" s="4" t="s">
        <v>469</v>
      </c>
      <c r="B14" s="4" t="s">
        <v>0</v>
      </c>
      <c r="C14" s="2" t="s">
        <v>515</v>
      </c>
      <c r="D14" s="2" t="s">
        <v>511</v>
      </c>
      <c r="E14" s="4" t="s">
        <v>516</v>
      </c>
    </row>
    <row r="15" spans="1:5" x14ac:dyDescent="0.3">
      <c r="A15" s="4" t="s">
        <v>470</v>
      </c>
      <c r="B15" s="4" t="s">
        <v>18</v>
      </c>
      <c r="C15" s="2" t="s">
        <v>517</v>
      </c>
      <c r="D15" s="2" t="s">
        <v>508</v>
      </c>
      <c r="E15" s="4" t="s">
        <v>518</v>
      </c>
    </row>
    <row r="16" spans="1:5" x14ac:dyDescent="0.3">
      <c r="A16" s="4" t="s">
        <v>471</v>
      </c>
      <c r="B16" s="4" t="s">
        <v>19</v>
      </c>
      <c r="C16" s="2" t="s">
        <v>519</v>
      </c>
      <c r="D16" s="2" t="s">
        <v>508</v>
      </c>
      <c r="E16" s="4" t="s">
        <v>520</v>
      </c>
    </row>
    <row r="17" spans="1:5" x14ac:dyDescent="0.3">
      <c r="A17" s="4" t="s">
        <v>458</v>
      </c>
      <c r="B17" s="4" t="s">
        <v>20</v>
      </c>
      <c r="C17" s="2" t="s">
        <v>507</v>
      </c>
      <c r="D17" s="2" t="s">
        <v>508</v>
      </c>
      <c r="E17" s="4" t="s">
        <v>521</v>
      </c>
    </row>
    <row r="18" spans="1:5" x14ac:dyDescent="0.3">
      <c r="A18" s="4" t="s">
        <v>459</v>
      </c>
      <c r="B18" s="4" t="s">
        <v>0</v>
      </c>
      <c r="C18" s="2" t="s">
        <v>510</v>
      </c>
      <c r="D18" s="2" t="s">
        <v>511</v>
      </c>
      <c r="E18" s="4" t="s">
        <v>522</v>
      </c>
    </row>
    <row r="19" spans="1:5" x14ac:dyDescent="0.3">
      <c r="A19" s="4" t="s">
        <v>460</v>
      </c>
      <c r="B19" s="4" t="s">
        <v>0</v>
      </c>
      <c r="C19" s="2" t="s">
        <v>513</v>
      </c>
      <c r="D19" s="2" t="s">
        <v>511</v>
      </c>
      <c r="E19" s="4" t="s">
        <v>523</v>
      </c>
    </row>
    <row r="20" spans="1:5" x14ac:dyDescent="0.3">
      <c r="A20" s="4" t="s">
        <v>472</v>
      </c>
      <c r="B20" s="4" t="s">
        <v>0</v>
      </c>
      <c r="C20" s="2" t="s">
        <v>515</v>
      </c>
      <c r="D20" s="2" t="s">
        <v>511</v>
      </c>
      <c r="E20" s="4" t="s">
        <v>524</v>
      </c>
    </row>
    <row r="21" spans="1:5" x14ac:dyDescent="0.3">
      <c r="A21" s="4" t="s">
        <v>473</v>
      </c>
      <c r="B21" s="4" t="s">
        <v>21</v>
      </c>
      <c r="C21" s="2" t="s">
        <v>517</v>
      </c>
      <c r="D21" s="2" t="s">
        <v>508</v>
      </c>
      <c r="E21" s="4" t="s">
        <v>525</v>
      </c>
    </row>
    <row r="22" spans="1:5" x14ac:dyDescent="0.3">
      <c r="A22" s="4" t="s">
        <v>474</v>
      </c>
      <c r="B22" s="4" t="s">
        <v>22</v>
      </c>
      <c r="C22" s="2" t="s">
        <v>519</v>
      </c>
      <c r="D22" s="2" t="s">
        <v>508</v>
      </c>
      <c r="E22" s="4" t="s">
        <v>526</v>
      </c>
    </row>
    <row r="23" spans="1:5" x14ac:dyDescent="0.3">
      <c r="A23" s="4" t="s">
        <v>468</v>
      </c>
      <c r="B23" s="4" t="s">
        <v>0</v>
      </c>
      <c r="C23" s="2" t="s">
        <v>0</v>
      </c>
      <c r="D23" s="2" t="s">
        <v>511</v>
      </c>
      <c r="E23" s="4" t="s">
        <v>527</v>
      </c>
    </row>
    <row r="24" spans="1:5" x14ac:dyDescent="0.3">
      <c r="A24" s="4" t="s">
        <v>461</v>
      </c>
      <c r="B24" s="4" t="s">
        <v>16</v>
      </c>
      <c r="C24" s="2" t="s">
        <v>528</v>
      </c>
      <c r="D24" s="2" t="s">
        <v>508</v>
      </c>
      <c r="E24" s="4" t="s">
        <v>529</v>
      </c>
    </row>
    <row r="25" spans="1:5" x14ac:dyDescent="0.3">
      <c r="A25" s="4" t="s">
        <v>462</v>
      </c>
      <c r="B25" s="4" t="s">
        <v>11</v>
      </c>
      <c r="C25" s="2" t="s">
        <v>530</v>
      </c>
      <c r="D25" s="2" t="s">
        <v>508</v>
      </c>
      <c r="E25" s="4" t="s">
        <v>531</v>
      </c>
    </row>
    <row r="26" spans="1:5" x14ac:dyDescent="0.3">
      <c r="A26" s="4" t="s">
        <v>463</v>
      </c>
      <c r="B26" s="4" t="s">
        <v>0</v>
      </c>
      <c r="C26" s="2" t="s">
        <v>532</v>
      </c>
      <c r="D26" s="2" t="s">
        <v>498</v>
      </c>
      <c r="E26" s="4" t="s">
        <v>533</v>
      </c>
    </row>
    <row r="27" spans="1:5" x14ac:dyDescent="0.3">
      <c r="A27" s="4" t="s">
        <v>464</v>
      </c>
      <c r="B27" s="4" t="s">
        <v>12</v>
      </c>
      <c r="C27" s="2" t="s">
        <v>534</v>
      </c>
      <c r="D27" s="2" t="s">
        <v>508</v>
      </c>
      <c r="E27" s="4" t="s">
        <v>535</v>
      </c>
    </row>
    <row r="28" spans="1:5" x14ac:dyDescent="0.3">
      <c r="A28" s="4" t="s">
        <v>465</v>
      </c>
      <c r="B28" s="4" t="s">
        <v>13</v>
      </c>
      <c r="C28" s="2" t="s">
        <v>534</v>
      </c>
      <c r="D28" s="2" t="s">
        <v>508</v>
      </c>
      <c r="E28" s="4" t="s">
        <v>536</v>
      </c>
    </row>
    <row r="29" spans="1:5" x14ac:dyDescent="0.3">
      <c r="A29" s="4" t="s">
        <v>466</v>
      </c>
      <c r="B29" s="4" t="s">
        <v>14</v>
      </c>
      <c r="C29" s="2" t="s">
        <v>534</v>
      </c>
      <c r="D29" s="2" t="s">
        <v>508</v>
      </c>
      <c r="E29" s="4" t="s">
        <v>537</v>
      </c>
    </row>
    <row r="30" spans="1:5" x14ac:dyDescent="0.3">
      <c r="A30" s="4" t="s">
        <v>467</v>
      </c>
      <c r="B30" s="4" t="s">
        <v>0</v>
      </c>
      <c r="C30" s="2" t="s">
        <v>0</v>
      </c>
      <c r="D30" s="2" t="s">
        <v>511</v>
      </c>
      <c r="E30" s="4" t="s">
        <v>538</v>
      </c>
    </row>
    <row r="31" spans="1:5" x14ac:dyDescent="0.3">
      <c r="A31" s="4" t="s">
        <v>539</v>
      </c>
      <c r="B31" s="4" t="s">
        <v>0</v>
      </c>
      <c r="C31" s="2" t="s">
        <v>540</v>
      </c>
      <c r="D31" s="2" t="s">
        <v>541</v>
      </c>
      <c r="E31" s="4" t="s">
        <v>542</v>
      </c>
    </row>
    <row r="32" spans="1:5" x14ac:dyDescent="0.3">
      <c r="A32" s="4" t="s">
        <v>483</v>
      </c>
      <c r="B32" s="4" t="s">
        <v>26</v>
      </c>
      <c r="C32" s="2" t="s">
        <v>543</v>
      </c>
      <c r="D32" s="2" t="s">
        <v>508</v>
      </c>
      <c r="E32" s="4" t="s">
        <v>544</v>
      </c>
    </row>
    <row r="33" spans="1:5" x14ac:dyDescent="0.3">
      <c r="A33" s="4" t="s">
        <v>475</v>
      </c>
      <c r="B33" s="4" t="s">
        <v>15</v>
      </c>
      <c r="C33" s="2" t="s">
        <v>545</v>
      </c>
      <c r="D33" s="2" t="s">
        <v>508</v>
      </c>
      <c r="E33" s="4" t="s">
        <v>546</v>
      </c>
    </row>
    <row r="34" spans="1:5" x14ac:dyDescent="0.3">
      <c r="A34" s="4" t="s">
        <v>476</v>
      </c>
      <c r="B34" s="4" t="s">
        <v>0</v>
      </c>
      <c r="C34" s="2" t="s">
        <v>547</v>
      </c>
      <c r="D34" s="2" t="s">
        <v>511</v>
      </c>
      <c r="E34" s="4" t="s">
        <v>548</v>
      </c>
    </row>
    <row r="35" spans="1:5" x14ac:dyDescent="0.3">
      <c r="A35" s="4" t="s">
        <v>477</v>
      </c>
      <c r="B35" s="4" t="s">
        <v>24</v>
      </c>
      <c r="C35" s="2" t="s">
        <v>547</v>
      </c>
      <c r="D35" s="2" t="s">
        <v>508</v>
      </c>
      <c r="E35" s="4" t="s">
        <v>549</v>
      </c>
    </row>
    <row r="36" spans="1:5" x14ac:dyDescent="0.3">
      <c r="A36" s="4" t="s">
        <v>478</v>
      </c>
      <c r="B36" s="4" t="s">
        <v>0</v>
      </c>
      <c r="C36" s="2" t="s">
        <v>550</v>
      </c>
      <c r="D36" s="2" t="s">
        <v>511</v>
      </c>
      <c r="E36" s="4" t="s">
        <v>551</v>
      </c>
    </row>
    <row r="37" spans="1:5" x14ac:dyDescent="0.3">
      <c r="A37" s="4" t="s">
        <v>479</v>
      </c>
      <c r="B37" s="4" t="s">
        <v>0</v>
      </c>
      <c r="C37" s="2" t="s">
        <v>0</v>
      </c>
      <c r="D37" s="2" t="s">
        <v>511</v>
      </c>
      <c r="E37" s="4" t="s">
        <v>552</v>
      </c>
    </row>
    <row r="38" spans="1:5" x14ac:dyDescent="0.3">
      <c r="A38" s="4" t="s">
        <v>480</v>
      </c>
      <c r="B38" s="4" t="s">
        <v>0</v>
      </c>
      <c r="C38" s="2" t="s">
        <v>553</v>
      </c>
      <c r="D38" s="2" t="s">
        <v>498</v>
      </c>
      <c r="E38" s="4" t="s">
        <v>554</v>
      </c>
    </row>
    <row r="39" spans="1:5" x14ac:dyDescent="0.3">
      <c r="A39" s="4" t="s">
        <v>481</v>
      </c>
      <c r="B39" s="4" t="s">
        <v>25</v>
      </c>
      <c r="C39" s="2" t="s">
        <v>555</v>
      </c>
      <c r="D39" s="2" t="s">
        <v>508</v>
      </c>
      <c r="E39" s="4" t="s">
        <v>556</v>
      </c>
    </row>
    <row r="40" spans="1:5" x14ac:dyDescent="0.3">
      <c r="A40" s="4" t="s">
        <v>485</v>
      </c>
      <c r="B40" s="4" t="s">
        <v>23</v>
      </c>
      <c r="C40" s="2" t="s">
        <v>555</v>
      </c>
      <c r="D40" s="2" t="s">
        <v>508</v>
      </c>
      <c r="E40" s="4" t="s">
        <v>557</v>
      </c>
    </row>
    <row r="41" spans="1:5" ht="26.4" x14ac:dyDescent="0.3">
      <c r="A41" s="4" t="s">
        <v>0</v>
      </c>
      <c r="B41" s="4" t="s">
        <v>27</v>
      </c>
      <c r="C41" s="2" t="s">
        <v>558</v>
      </c>
      <c r="D41" s="2" t="s">
        <v>508</v>
      </c>
      <c r="E41" s="4" t="s">
        <v>559</v>
      </c>
    </row>
    <row r="42" spans="1:5" ht="26.4" x14ac:dyDescent="0.3">
      <c r="A42" s="4" t="s">
        <v>0</v>
      </c>
      <c r="B42" s="4" t="s">
        <v>28</v>
      </c>
      <c r="C42" s="2" t="s">
        <v>0</v>
      </c>
      <c r="D42" s="2" t="s">
        <v>560</v>
      </c>
      <c r="E42" s="4" t="s">
        <v>561</v>
      </c>
    </row>
  </sheetData>
  <autoFilter ref="A1:E4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Approach_1</vt:lpstr>
      <vt:lpstr>Approach_2</vt:lpstr>
      <vt:lpstr>03_Column_dictionary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Castaño</cp:lastModifiedBy>
  <dcterms:created xsi:type="dcterms:W3CDTF">2026-09-05T20:53:34Z</dcterms:created>
  <dcterms:modified xsi:type="dcterms:W3CDTF">2026-09-05T21:03:42Z</dcterms:modified>
</cp:coreProperties>
</file>